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tinfoalvarezandmarsalbra.sharepoint.com/sites/Inpasa-Projetos/Shared Documents/Raiz/9. Delivery Model + Performance Review/7. PMO/14. Meio Ambiente/02. SCAs/01. Input/dados/17. ATUALIZAÇÃO DE SCAs/2. RONDONÓPOLIS/"/>
    </mc:Choice>
  </mc:AlternateContent>
  <xr:revisionPtr revIDLastSave="654" documentId="13_ncr:1_{E6BED112-DC91-4D32-B9DC-6D45D89F4DC9}" xr6:coauthVersionLast="47" xr6:coauthVersionMax="47" xr10:uidLastSave="{2E64BC3F-DD85-4453-B063-7F82DCCD8BD4}"/>
  <bookViews>
    <workbookView xWindow="-110" yWindow="-110" windowWidth="19420" windowHeight="11500" xr2:uid="{6913E7A4-414A-45D6-9E84-AB232E7D8889}"/>
  </bookViews>
  <sheets>
    <sheet name="SCAs" sheetId="2" r:id="rId1"/>
    <sheet name="EAP Planej." sheetId="4" r:id="rId2"/>
    <sheet name="Árvore de Localizaçã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" l="1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G1272" i="4"/>
  <c r="F1272" i="4"/>
  <c r="G1271" i="4"/>
  <c r="F1271" i="4"/>
  <c r="G1270" i="4"/>
  <c r="F1270" i="4"/>
  <c r="G1269" i="4"/>
  <c r="F1269" i="4"/>
  <c r="G1268" i="4"/>
  <c r="F1268" i="4"/>
  <c r="G1267" i="4"/>
  <c r="F1267" i="4"/>
  <c r="G1266" i="4"/>
  <c r="F1266" i="4"/>
  <c r="G1265" i="4"/>
  <c r="F1265" i="4"/>
  <c r="I1264" i="4"/>
  <c r="H1264" i="4"/>
  <c r="E1264" i="4"/>
  <c r="G1263" i="4"/>
  <c r="F1263" i="4"/>
  <c r="G1262" i="4"/>
  <c r="F1262" i="4"/>
  <c r="G1261" i="4"/>
  <c r="F1261" i="4"/>
  <c r="G1260" i="4"/>
  <c r="F1260" i="4"/>
  <c r="G1259" i="4"/>
  <c r="F1259" i="4"/>
  <c r="G1258" i="4"/>
  <c r="F1258" i="4"/>
  <c r="G1257" i="4"/>
  <c r="F1257" i="4"/>
  <c r="G1256" i="4"/>
  <c r="F1256" i="4"/>
  <c r="I1255" i="4"/>
  <c r="H1255" i="4"/>
  <c r="E1255" i="4"/>
  <c r="G1254" i="4"/>
  <c r="F1254" i="4"/>
  <c r="G1253" i="4"/>
  <c r="F1253" i="4"/>
  <c r="G1252" i="4"/>
  <c r="F1252" i="4"/>
  <c r="G1251" i="4"/>
  <c r="F1251" i="4"/>
  <c r="G1250" i="4"/>
  <c r="F1250" i="4"/>
  <c r="G1249" i="4"/>
  <c r="F1249" i="4"/>
  <c r="G1248" i="4"/>
  <c r="F1248" i="4"/>
  <c r="G1247" i="4"/>
  <c r="F1247" i="4"/>
  <c r="I1246" i="4"/>
  <c r="H1246" i="4"/>
  <c r="E1246" i="4"/>
  <c r="G1245" i="4"/>
  <c r="F1245" i="4"/>
  <c r="G1244" i="4"/>
  <c r="F1244" i="4"/>
  <c r="G1243" i="4"/>
  <c r="F1243" i="4"/>
  <c r="G1242" i="4"/>
  <c r="F1242" i="4"/>
  <c r="G1241" i="4"/>
  <c r="F1241" i="4"/>
  <c r="G1240" i="4"/>
  <c r="F1240" i="4"/>
  <c r="G1239" i="4"/>
  <c r="F1239" i="4"/>
  <c r="G1238" i="4"/>
  <c r="F1238" i="4"/>
  <c r="I1237" i="4"/>
  <c r="H1237" i="4"/>
  <c r="E1237" i="4"/>
  <c r="G1236" i="4"/>
  <c r="F1236" i="4"/>
  <c r="G1235" i="4"/>
  <c r="F1235" i="4"/>
  <c r="G1234" i="4"/>
  <c r="F1234" i="4"/>
  <c r="G1233" i="4"/>
  <c r="F1233" i="4"/>
  <c r="G1232" i="4"/>
  <c r="F1232" i="4"/>
  <c r="G1231" i="4"/>
  <c r="F1231" i="4"/>
  <c r="G1230" i="4"/>
  <c r="F1230" i="4"/>
  <c r="G1229" i="4"/>
  <c r="F1229" i="4"/>
  <c r="I1228" i="4"/>
  <c r="H1228" i="4"/>
  <c r="E1228" i="4"/>
  <c r="G1227" i="4"/>
  <c r="F1227" i="4"/>
  <c r="G1226" i="4"/>
  <c r="F1226" i="4"/>
  <c r="G1225" i="4"/>
  <c r="F1225" i="4"/>
  <c r="G1224" i="4"/>
  <c r="F1224" i="4"/>
  <c r="G1223" i="4"/>
  <c r="F1223" i="4"/>
  <c r="G1222" i="4"/>
  <c r="F1222" i="4"/>
  <c r="G1221" i="4"/>
  <c r="F1221" i="4"/>
  <c r="G1220" i="4"/>
  <c r="F1220" i="4"/>
  <c r="G1219" i="4"/>
  <c r="F1219" i="4"/>
  <c r="G1218" i="4"/>
  <c r="F1218" i="4"/>
  <c r="G1217" i="4"/>
  <c r="F1217" i="4"/>
  <c r="G1216" i="4"/>
  <c r="F1216" i="4"/>
  <c r="G1215" i="4"/>
  <c r="F1215" i="4"/>
  <c r="G1214" i="4"/>
  <c r="F1214" i="4"/>
  <c r="G1213" i="4"/>
  <c r="F1213" i="4"/>
  <c r="I1212" i="4"/>
  <c r="H1212" i="4"/>
  <c r="E1212" i="4"/>
  <c r="G1210" i="4"/>
  <c r="F1210" i="4"/>
  <c r="G1209" i="4"/>
  <c r="F1209" i="4"/>
  <c r="G1208" i="4"/>
  <c r="F1208" i="4"/>
  <c r="G1207" i="4"/>
  <c r="F1207" i="4"/>
  <c r="G1206" i="4"/>
  <c r="F1206" i="4"/>
  <c r="G1205" i="4"/>
  <c r="F1205" i="4"/>
  <c r="G1204" i="4"/>
  <c r="F1204" i="4"/>
  <c r="G1203" i="4"/>
  <c r="F1203" i="4"/>
  <c r="I1202" i="4"/>
  <c r="H1202" i="4"/>
  <c r="E1202" i="4"/>
  <c r="G1201" i="4"/>
  <c r="F1201" i="4"/>
  <c r="G1200" i="4"/>
  <c r="F1200" i="4"/>
  <c r="G1199" i="4"/>
  <c r="F1199" i="4"/>
  <c r="G1198" i="4"/>
  <c r="F1198" i="4"/>
  <c r="G1197" i="4"/>
  <c r="F1197" i="4"/>
  <c r="G1196" i="4"/>
  <c r="F1196" i="4"/>
  <c r="G1195" i="4"/>
  <c r="F1195" i="4"/>
  <c r="G1194" i="4"/>
  <c r="F1194" i="4"/>
  <c r="I1193" i="4"/>
  <c r="H1193" i="4"/>
  <c r="E1193" i="4"/>
  <c r="G1192" i="4"/>
  <c r="F1192" i="4"/>
  <c r="G1191" i="4"/>
  <c r="F1191" i="4"/>
  <c r="G1190" i="4"/>
  <c r="F1190" i="4"/>
  <c r="G1189" i="4"/>
  <c r="F1189" i="4"/>
  <c r="G1188" i="4"/>
  <c r="F1188" i="4"/>
  <c r="G1187" i="4"/>
  <c r="F1187" i="4"/>
  <c r="G1186" i="4"/>
  <c r="F1186" i="4"/>
  <c r="G1185" i="4"/>
  <c r="F1185" i="4"/>
  <c r="I1184" i="4"/>
  <c r="H1184" i="4"/>
  <c r="E1184" i="4"/>
  <c r="G1183" i="4"/>
  <c r="F1183" i="4"/>
  <c r="G1182" i="4"/>
  <c r="F1182" i="4"/>
  <c r="G1181" i="4"/>
  <c r="F1181" i="4"/>
  <c r="G1180" i="4"/>
  <c r="F1180" i="4"/>
  <c r="G1179" i="4"/>
  <c r="F1179" i="4"/>
  <c r="G1178" i="4"/>
  <c r="F1178" i="4"/>
  <c r="G1177" i="4"/>
  <c r="F1177" i="4"/>
  <c r="G1176" i="4"/>
  <c r="F1176" i="4"/>
  <c r="I1175" i="4"/>
  <c r="H1175" i="4"/>
  <c r="E1175" i="4"/>
  <c r="G1174" i="4"/>
  <c r="F1174" i="4"/>
  <c r="G1173" i="4"/>
  <c r="F1173" i="4"/>
  <c r="G1172" i="4"/>
  <c r="F1172" i="4"/>
  <c r="G1171" i="4"/>
  <c r="F1171" i="4"/>
  <c r="G1170" i="4"/>
  <c r="F1170" i="4"/>
  <c r="G1169" i="4"/>
  <c r="F1169" i="4"/>
  <c r="G1168" i="4"/>
  <c r="F1168" i="4"/>
  <c r="G1167" i="4"/>
  <c r="F1167" i="4"/>
  <c r="I1166" i="4"/>
  <c r="H1166" i="4"/>
  <c r="E1166" i="4"/>
  <c r="G1165" i="4"/>
  <c r="F1165" i="4"/>
  <c r="G1164" i="4"/>
  <c r="F1164" i="4"/>
  <c r="G1163" i="4"/>
  <c r="F1163" i="4"/>
  <c r="G1162" i="4"/>
  <c r="F1162" i="4"/>
  <c r="G1161" i="4"/>
  <c r="F1161" i="4"/>
  <c r="G1160" i="4"/>
  <c r="F1160" i="4"/>
  <c r="G1159" i="4"/>
  <c r="F1159" i="4"/>
  <c r="G1158" i="4"/>
  <c r="F1158" i="4"/>
  <c r="I1157" i="4"/>
  <c r="H1157" i="4"/>
  <c r="E1157" i="4"/>
  <c r="G1155" i="4"/>
  <c r="F1155" i="4"/>
  <c r="G1154" i="4"/>
  <c r="F1154" i="4"/>
  <c r="G1153" i="4"/>
  <c r="F1153" i="4"/>
  <c r="G1152" i="4"/>
  <c r="F1152" i="4"/>
  <c r="G1151" i="4"/>
  <c r="F1151" i="4"/>
  <c r="G1150" i="4"/>
  <c r="F1150" i="4"/>
  <c r="G1149" i="4"/>
  <c r="F1149" i="4"/>
  <c r="G1148" i="4"/>
  <c r="F1148" i="4"/>
  <c r="I1147" i="4"/>
  <c r="H1147" i="4"/>
  <c r="E1147" i="4"/>
  <c r="G1146" i="4"/>
  <c r="F1146" i="4"/>
  <c r="G1145" i="4"/>
  <c r="F1145" i="4"/>
  <c r="G1144" i="4"/>
  <c r="F1144" i="4"/>
  <c r="G1143" i="4"/>
  <c r="F1143" i="4"/>
  <c r="G1142" i="4"/>
  <c r="F1142" i="4"/>
  <c r="G1141" i="4"/>
  <c r="F1141" i="4"/>
  <c r="G1140" i="4"/>
  <c r="F1140" i="4"/>
  <c r="G1139" i="4"/>
  <c r="F1139" i="4"/>
  <c r="I1138" i="4"/>
  <c r="H1138" i="4"/>
  <c r="E1138" i="4"/>
  <c r="G1137" i="4"/>
  <c r="F1137" i="4"/>
  <c r="G1136" i="4"/>
  <c r="F1136" i="4"/>
  <c r="G1135" i="4"/>
  <c r="F1135" i="4"/>
  <c r="G1134" i="4"/>
  <c r="F1134" i="4"/>
  <c r="G1133" i="4"/>
  <c r="F1133" i="4"/>
  <c r="G1132" i="4"/>
  <c r="F1132" i="4"/>
  <c r="G1131" i="4"/>
  <c r="F1131" i="4"/>
  <c r="G1130" i="4"/>
  <c r="F1130" i="4"/>
  <c r="I1129" i="4"/>
  <c r="H1129" i="4"/>
  <c r="E1129" i="4"/>
  <c r="G1128" i="4"/>
  <c r="F1128" i="4"/>
  <c r="G1127" i="4"/>
  <c r="F1127" i="4"/>
  <c r="G1126" i="4"/>
  <c r="F1126" i="4"/>
  <c r="G1125" i="4"/>
  <c r="F1125" i="4"/>
  <c r="G1124" i="4"/>
  <c r="F1124" i="4"/>
  <c r="G1123" i="4"/>
  <c r="F1123" i="4"/>
  <c r="G1122" i="4"/>
  <c r="F1122" i="4"/>
  <c r="G1121" i="4"/>
  <c r="F1121" i="4"/>
  <c r="I1120" i="4"/>
  <c r="H1120" i="4"/>
  <c r="E1120" i="4"/>
  <c r="G1119" i="4"/>
  <c r="F1119" i="4"/>
  <c r="G1118" i="4"/>
  <c r="F1118" i="4"/>
  <c r="G1117" i="4"/>
  <c r="F1117" i="4"/>
  <c r="G1116" i="4"/>
  <c r="F1116" i="4"/>
  <c r="G1115" i="4"/>
  <c r="F1115" i="4"/>
  <c r="G1114" i="4"/>
  <c r="F1114" i="4"/>
  <c r="G1113" i="4"/>
  <c r="F1113" i="4"/>
  <c r="G1112" i="4"/>
  <c r="F1112" i="4"/>
  <c r="I1111" i="4"/>
  <c r="H1111" i="4"/>
  <c r="E1111" i="4"/>
  <c r="G1110" i="4"/>
  <c r="F1110" i="4"/>
  <c r="G1109" i="4"/>
  <c r="F1109" i="4"/>
  <c r="G1108" i="4"/>
  <c r="F1108" i="4"/>
  <c r="G1107" i="4"/>
  <c r="F1107" i="4"/>
  <c r="G1106" i="4"/>
  <c r="F1106" i="4"/>
  <c r="G1105" i="4"/>
  <c r="F1105" i="4"/>
  <c r="G1104" i="4"/>
  <c r="F1104" i="4"/>
  <c r="G1103" i="4"/>
  <c r="F1103" i="4"/>
  <c r="G1102" i="4"/>
  <c r="F1102" i="4"/>
  <c r="G1101" i="4"/>
  <c r="F1101" i="4"/>
  <c r="G1100" i="4"/>
  <c r="F1100" i="4"/>
  <c r="G1099" i="4"/>
  <c r="F1099" i="4"/>
  <c r="G1098" i="4"/>
  <c r="F1098" i="4"/>
  <c r="I1097" i="4"/>
  <c r="H1097" i="4"/>
  <c r="E1097" i="4"/>
  <c r="G1095" i="4"/>
  <c r="F1095" i="4"/>
  <c r="G1094" i="4"/>
  <c r="F1094" i="4"/>
  <c r="G1093" i="4"/>
  <c r="F1093" i="4"/>
  <c r="G1092" i="4"/>
  <c r="F1092" i="4"/>
  <c r="G1091" i="4"/>
  <c r="F1091" i="4"/>
  <c r="G1090" i="4"/>
  <c r="F1090" i="4"/>
  <c r="G1089" i="4"/>
  <c r="F1089" i="4"/>
  <c r="G1088" i="4"/>
  <c r="F1088" i="4"/>
  <c r="I1087" i="4"/>
  <c r="H1087" i="4"/>
  <c r="E1087" i="4"/>
  <c r="G1086" i="4"/>
  <c r="F1086" i="4"/>
  <c r="G1085" i="4"/>
  <c r="F1085" i="4"/>
  <c r="G1084" i="4"/>
  <c r="F1084" i="4"/>
  <c r="G1083" i="4"/>
  <c r="F1083" i="4"/>
  <c r="G1082" i="4"/>
  <c r="F1082" i="4"/>
  <c r="G1081" i="4"/>
  <c r="F1081" i="4"/>
  <c r="G1080" i="4"/>
  <c r="F1080" i="4"/>
  <c r="G1079" i="4"/>
  <c r="F1079" i="4"/>
  <c r="I1078" i="4"/>
  <c r="H1078" i="4"/>
  <c r="E1078" i="4"/>
  <c r="G1077" i="4"/>
  <c r="F1077" i="4"/>
  <c r="G1076" i="4"/>
  <c r="F1076" i="4"/>
  <c r="G1075" i="4"/>
  <c r="F1075" i="4"/>
  <c r="G1074" i="4"/>
  <c r="F1074" i="4"/>
  <c r="G1073" i="4"/>
  <c r="F1073" i="4"/>
  <c r="G1072" i="4"/>
  <c r="F1072" i="4"/>
  <c r="G1071" i="4"/>
  <c r="F1071" i="4"/>
  <c r="G1070" i="4"/>
  <c r="F1070" i="4"/>
  <c r="I1069" i="4"/>
  <c r="H1069" i="4"/>
  <c r="E1069" i="4"/>
  <c r="G1068" i="4"/>
  <c r="F1068" i="4"/>
  <c r="G1067" i="4"/>
  <c r="F1067" i="4"/>
  <c r="G1066" i="4"/>
  <c r="F1066" i="4"/>
  <c r="G1065" i="4"/>
  <c r="F1065" i="4"/>
  <c r="G1064" i="4"/>
  <c r="F1064" i="4"/>
  <c r="G1063" i="4"/>
  <c r="F1063" i="4"/>
  <c r="G1062" i="4"/>
  <c r="F1062" i="4"/>
  <c r="G1061" i="4"/>
  <c r="F1061" i="4"/>
  <c r="I1060" i="4"/>
  <c r="H1060" i="4"/>
  <c r="E1060" i="4"/>
  <c r="G1059" i="4"/>
  <c r="F1059" i="4"/>
  <c r="G1058" i="4"/>
  <c r="F1058" i="4"/>
  <c r="G1057" i="4"/>
  <c r="F1057" i="4"/>
  <c r="G1056" i="4"/>
  <c r="F1056" i="4"/>
  <c r="G1055" i="4"/>
  <c r="F1055" i="4"/>
  <c r="G1054" i="4"/>
  <c r="F1054" i="4"/>
  <c r="G1053" i="4"/>
  <c r="F1053" i="4"/>
  <c r="G1052" i="4"/>
  <c r="F1052" i="4"/>
  <c r="I1051" i="4"/>
  <c r="H1051" i="4"/>
  <c r="E1051" i="4"/>
  <c r="G1050" i="4"/>
  <c r="F1050" i="4"/>
  <c r="G1049" i="4"/>
  <c r="F1049" i="4"/>
  <c r="G1048" i="4"/>
  <c r="F1048" i="4"/>
  <c r="G1047" i="4"/>
  <c r="F1047" i="4"/>
  <c r="G1046" i="4"/>
  <c r="F1046" i="4"/>
  <c r="G1045" i="4"/>
  <c r="F1045" i="4"/>
  <c r="G1044" i="4"/>
  <c r="F1044" i="4"/>
  <c r="G1043" i="4"/>
  <c r="F1043" i="4"/>
  <c r="I1042" i="4"/>
  <c r="H1042" i="4"/>
  <c r="E1042" i="4"/>
  <c r="G1040" i="4"/>
  <c r="F1040" i="4"/>
  <c r="G1039" i="4"/>
  <c r="F1039" i="4"/>
  <c r="G1038" i="4"/>
  <c r="F1038" i="4"/>
  <c r="G1037" i="4"/>
  <c r="F1037" i="4"/>
  <c r="G1036" i="4"/>
  <c r="F1036" i="4"/>
  <c r="G1035" i="4"/>
  <c r="F1035" i="4"/>
  <c r="G1034" i="4"/>
  <c r="F1034" i="4"/>
  <c r="G1033" i="4"/>
  <c r="F1033" i="4"/>
  <c r="I1032" i="4"/>
  <c r="H1032" i="4"/>
  <c r="E1032" i="4"/>
  <c r="G1031" i="4"/>
  <c r="F1031" i="4"/>
  <c r="G1030" i="4"/>
  <c r="F1030" i="4"/>
  <c r="G1029" i="4"/>
  <c r="F1029" i="4"/>
  <c r="G1028" i="4"/>
  <c r="F1028" i="4"/>
  <c r="G1027" i="4"/>
  <c r="F1027" i="4"/>
  <c r="G1026" i="4"/>
  <c r="F1026" i="4"/>
  <c r="G1025" i="4"/>
  <c r="F1025" i="4"/>
  <c r="G1024" i="4"/>
  <c r="F1024" i="4"/>
  <c r="I1023" i="4"/>
  <c r="H1023" i="4"/>
  <c r="E1023" i="4"/>
  <c r="G1022" i="4"/>
  <c r="F1022" i="4"/>
  <c r="G1021" i="4"/>
  <c r="F1021" i="4"/>
  <c r="G1020" i="4"/>
  <c r="F1020" i="4"/>
  <c r="G1019" i="4"/>
  <c r="F1019" i="4"/>
  <c r="G1018" i="4"/>
  <c r="F1018" i="4"/>
  <c r="G1017" i="4"/>
  <c r="F1017" i="4"/>
  <c r="G1016" i="4"/>
  <c r="F1016" i="4"/>
  <c r="G1015" i="4"/>
  <c r="F1015" i="4"/>
  <c r="I1014" i="4"/>
  <c r="H1014" i="4"/>
  <c r="E1014" i="4"/>
  <c r="G1013" i="4"/>
  <c r="F1013" i="4"/>
  <c r="G1012" i="4"/>
  <c r="F1012" i="4"/>
  <c r="G1011" i="4"/>
  <c r="F1011" i="4"/>
  <c r="G1010" i="4"/>
  <c r="F1010" i="4"/>
  <c r="G1009" i="4"/>
  <c r="F1009" i="4"/>
  <c r="G1008" i="4"/>
  <c r="F1008" i="4"/>
  <c r="G1007" i="4"/>
  <c r="F1007" i="4"/>
  <c r="G1006" i="4"/>
  <c r="F1006" i="4"/>
  <c r="I1005" i="4"/>
  <c r="H1005" i="4"/>
  <c r="E1005" i="4"/>
  <c r="G1004" i="4"/>
  <c r="F1004" i="4"/>
  <c r="G1003" i="4"/>
  <c r="F1003" i="4"/>
  <c r="G1002" i="4"/>
  <c r="F1002" i="4"/>
  <c r="G1001" i="4"/>
  <c r="F1001" i="4"/>
  <c r="G1000" i="4"/>
  <c r="F1000" i="4"/>
  <c r="G999" i="4"/>
  <c r="F999" i="4"/>
  <c r="G998" i="4"/>
  <c r="F998" i="4"/>
  <c r="G997" i="4"/>
  <c r="F997" i="4"/>
  <c r="I996" i="4"/>
  <c r="H996" i="4"/>
  <c r="E996" i="4"/>
  <c r="G995" i="4"/>
  <c r="F995" i="4"/>
  <c r="G994" i="4"/>
  <c r="F994" i="4"/>
  <c r="G993" i="4"/>
  <c r="F993" i="4"/>
  <c r="G992" i="4"/>
  <c r="F992" i="4"/>
  <c r="G991" i="4"/>
  <c r="F991" i="4"/>
  <c r="G990" i="4"/>
  <c r="F990" i="4"/>
  <c r="G989" i="4"/>
  <c r="F989" i="4"/>
  <c r="G988" i="4"/>
  <c r="F988" i="4"/>
  <c r="I987" i="4"/>
  <c r="H987" i="4"/>
  <c r="E987" i="4"/>
  <c r="G985" i="4"/>
  <c r="F985" i="4"/>
  <c r="G984" i="4"/>
  <c r="F984" i="4"/>
  <c r="G983" i="4"/>
  <c r="F983" i="4"/>
  <c r="G982" i="4"/>
  <c r="F982" i="4"/>
  <c r="G981" i="4"/>
  <c r="F981" i="4"/>
  <c r="G980" i="4"/>
  <c r="F980" i="4"/>
  <c r="G979" i="4"/>
  <c r="F979" i="4"/>
  <c r="G978" i="4"/>
  <c r="F978" i="4"/>
  <c r="I977" i="4"/>
  <c r="H977" i="4"/>
  <c r="E977" i="4"/>
  <c r="G976" i="4"/>
  <c r="F976" i="4"/>
  <c r="G975" i="4"/>
  <c r="F975" i="4"/>
  <c r="G974" i="4"/>
  <c r="F974" i="4"/>
  <c r="G973" i="4"/>
  <c r="F973" i="4"/>
  <c r="G972" i="4"/>
  <c r="F972" i="4"/>
  <c r="G971" i="4"/>
  <c r="F971" i="4"/>
  <c r="G970" i="4"/>
  <c r="F970" i="4"/>
  <c r="G969" i="4"/>
  <c r="F969" i="4"/>
  <c r="I968" i="4"/>
  <c r="H968" i="4"/>
  <c r="E968" i="4"/>
  <c r="G967" i="4"/>
  <c r="F967" i="4"/>
  <c r="G966" i="4"/>
  <c r="F966" i="4"/>
  <c r="G965" i="4"/>
  <c r="F965" i="4"/>
  <c r="G964" i="4"/>
  <c r="F964" i="4"/>
  <c r="G963" i="4"/>
  <c r="F963" i="4"/>
  <c r="G962" i="4"/>
  <c r="F962" i="4"/>
  <c r="G961" i="4"/>
  <c r="F961" i="4"/>
  <c r="G960" i="4"/>
  <c r="F960" i="4"/>
  <c r="I959" i="4"/>
  <c r="H959" i="4"/>
  <c r="E959" i="4"/>
  <c r="G958" i="4"/>
  <c r="F958" i="4"/>
  <c r="G957" i="4"/>
  <c r="F957" i="4"/>
  <c r="G956" i="4"/>
  <c r="F956" i="4"/>
  <c r="G955" i="4"/>
  <c r="F955" i="4"/>
  <c r="G954" i="4"/>
  <c r="F954" i="4"/>
  <c r="G953" i="4"/>
  <c r="F953" i="4"/>
  <c r="G952" i="4"/>
  <c r="F952" i="4"/>
  <c r="G951" i="4"/>
  <c r="F951" i="4"/>
  <c r="I950" i="4"/>
  <c r="H950" i="4"/>
  <c r="E950" i="4"/>
  <c r="G949" i="4"/>
  <c r="F949" i="4"/>
  <c r="G948" i="4"/>
  <c r="F948" i="4"/>
  <c r="G947" i="4"/>
  <c r="F947" i="4"/>
  <c r="G946" i="4"/>
  <c r="F946" i="4"/>
  <c r="G945" i="4"/>
  <c r="F945" i="4"/>
  <c r="G944" i="4"/>
  <c r="F944" i="4"/>
  <c r="G943" i="4"/>
  <c r="F943" i="4"/>
  <c r="G942" i="4"/>
  <c r="F942" i="4"/>
  <c r="I941" i="4"/>
  <c r="H941" i="4"/>
  <c r="E941" i="4"/>
  <c r="G940" i="4"/>
  <c r="F940" i="4"/>
  <c r="G939" i="4"/>
  <c r="F939" i="4"/>
  <c r="G938" i="4"/>
  <c r="F938" i="4"/>
  <c r="G937" i="4"/>
  <c r="F937" i="4"/>
  <c r="G936" i="4"/>
  <c r="F936" i="4"/>
  <c r="G935" i="4"/>
  <c r="F935" i="4"/>
  <c r="G934" i="4"/>
  <c r="F934" i="4"/>
  <c r="G933" i="4"/>
  <c r="F933" i="4"/>
  <c r="I932" i="4"/>
  <c r="H932" i="4"/>
  <c r="E932" i="4"/>
  <c r="G930" i="4"/>
  <c r="F930" i="4"/>
  <c r="G929" i="4"/>
  <c r="F929" i="4"/>
  <c r="G928" i="4"/>
  <c r="F928" i="4"/>
  <c r="G927" i="4"/>
  <c r="F927" i="4"/>
  <c r="G926" i="4"/>
  <c r="F926" i="4"/>
  <c r="G925" i="4"/>
  <c r="F925" i="4"/>
  <c r="G924" i="4"/>
  <c r="F924" i="4"/>
  <c r="G923" i="4"/>
  <c r="F923" i="4"/>
  <c r="I922" i="4"/>
  <c r="H922" i="4"/>
  <c r="E922" i="4"/>
  <c r="G921" i="4"/>
  <c r="F921" i="4"/>
  <c r="G920" i="4"/>
  <c r="F920" i="4"/>
  <c r="G919" i="4"/>
  <c r="F919" i="4"/>
  <c r="G918" i="4"/>
  <c r="F918" i="4"/>
  <c r="G917" i="4"/>
  <c r="F917" i="4"/>
  <c r="G916" i="4"/>
  <c r="F916" i="4"/>
  <c r="G915" i="4"/>
  <c r="F915" i="4"/>
  <c r="G914" i="4"/>
  <c r="F914" i="4"/>
  <c r="I913" i="4"/>
  <c r="H913" i="4"/>
  <c r="E913" i="4"/>
  <c r="G912" i="4"/>
  <c r="F912" i="4"/>
  <c r="G911" i="4"/>
  <c r="F911" i="4"/>
  <c r="G910" i="4"/>
  <c r="F910" i="4"/>
  <c r="G909" i="4"/>
  <c r="F909" i="4"/>
  <c r="G908" i="4"/>
  <c r="F908" i="4"/>
  <c r="G907" i="4"/>
  <c r="F907" i="4"/>
  <c r="G906" i="4"/>
  <c r="F906" i="4"/>
  <c r="G905" i="4"/>
  <c r="F905" i="4"/>
  <c r="I904" i="4"/>
  <c r="H904" i="4"/>
  <c r="E904" i="4"/>
  <c r="G903" i="4"/>
  <c r="F903" i="4"/>
  <c r="G902" i="4"/>
  <c r="F902" i="4"/>
  <c r="G901" i="4"/>
  <c r="F901" i="4"/>
  <c r="G900" i="4"/>
  <c r="F900" i="4"/>
  <c r="G899" i="4"/>
  <c r="F899" i="4"/>
  <c r="G898" i="4"/>
  <c r="F898" i="4"/>
  <c r="G897" i="4"/>
  <c r="F897" i="4"/>
  <c r="G896" i="4"/>
  <c r="F896" i="4"/>
  <c r="I895" i="4"/>
  <c r="H895" i="4"/>
  <c r="E895" i="4"/>
  <c r="G894" i="4"/>
  <c r="F894" i="4"/>
  <c r="G893" i="4"/>
  <c r="F893" i="4"/>
  <c r="G892" i="4"/>
  <c r="F892" i="4"/>
  <c r="G891" i="4"/>
  <c r="F891" i="4"/>
  <c r="G890" i="4"/>
  <c r="F890" i="4"/>
  <c r="G889" i="4"/>
  <c r="F889" i="4"/>
  <c r="G888" i="4"/>
  <c r="F888" i="4"/>
  <c r="G887" i="4"/>
  <c r="F887" i="4"/>
  <c r="I886" i="4"/>
  <c r="H886" i="4"/>
  <c r="E886" i="4"/>
  <c r="G885" i="4"/>
  <c r="F885" i="4"/>
  <c r="G884" i="4"/>
  <c r="F884" i="4"/>
  <c r="G883" i="4"/>
  <c r="F883" i="4"/>
  <c r="G882" i="4"/>
  <c r="F882" i="4"/>
  <c r="G881" i="4"/>
  <c r="F881" i="4"/>
  <c r="G880" i="4"/>
  <c r="F880" i="4"/>
  <c r="G879" i="4"/>
  <c r="F879" i="4"/>
  <c r="G878" i="4"/>
  <c r="F878" i="4"/>
  <c r="I877" i="4"/>
  <c r="H877" i="4"/>
  <c r="E877" i="4"/>
  <c r="G875" i="4"/>
  <c r="F875" i="4"/>
  <c r="G874" i="4"/>
  <c r="F874" i="4"/>
  <c r="G873" i="4"/>
  <c r="F873" i="4"/>
  <c r="G872" i="4"/>
  <c r="F872" i="4"/>
  <c r="G871" i="4"/>
  <c r="F871" i="4"/>
  <c r="G870" i="4"/>
  <c r="F870" i="4"/>
  <c r="G869" i="4"/>
  <c r="F869" i="4"/>
  <c r="G868" i="4"/>
  <c r="F868" i="4"/>
  <c r="I867" i="4"/>
  <c r="H867" i="4"/>
  <c r="E867" i="4"/>
  <c r="G866" i="4"/>
  <c r="F866" i="4"/>
  <c r="G865" i="4"/>
  <c r="F865" i="4"/>
  <c r="G864" i="4"/>
  <c r="F864" i="4"/>
  <c r="G863" i="4"/>
  <c r="F863" i="4"/>
  <c r="G862" i="4"/>
  <c r="F862" i="4"/>
  <c r="G861" i="4"/>
  <c r="F861" i="4"/>
  <c r="G860" i="4"/>
  <c r="F860" i="4"/>
  <c r="G859" i="4"/>
  <c r="F859" i="4"/>
  <c r="I858" i="4"/>
  <c r="H858" i="4"/>
  <c r="E858" i="4"/>
  <c r="G857" i="4"/>
  <c r="F857" i="4"/>
  <c r="G856" i="4"/>
  <c r="F856" i="4"/>
  <c r="G855" i="4"/>
  <c r="F855" i="4"/>
  <c r="G854" i="4"/>
  <c r="F854" i="4"/>
  <c r="G853" i="4"/>
  <c r="F853" i="4"/>
  <c r="G852" i="4"/>
  <c r="F852" i="4"/>
  <c r="G851" i="4"/>
  <c r="F851" i="4"/>
  <c r="G850" i="4"/>
  <c r="F850" i="4"/>
  <c r="I849" i="4"/>
  <c r="H849" i="4"/>
  <c r="E849" i="4"/>
  <c r="G848" i="4"/>
  <c r="F848" i="4"/>
  <c r="G847" i="4"/>
  <c r="F847" i="4"/>
  <c r="G846" i="4"/>
  <c r="F846" i="4"/>
  <c r="G845" i="4"/>
  <c r="F845" i="4"/>
  <c r="G844" i="4"/>
  <c r="F844" i="4"/>
  <c r="G843" i="4"/>
  <c r="F843" i="4"/>
  <c r="G842" i="4"/>
  <c r="F842" i="4"/>
  <c r="G841" i="4"/>
  <c r="F841" i="4"/>
  <c r="I840" i="4"/>
  <c r="H840" i="4"/>
  <c r="E840" i="4"/>
  <c r="G839" i="4"/>
  <c r="F839" i="4"/>
  <c r="G838" i="4"/>
  <c r="F838" i="4"/>
  <c r="G837" i="4"/>
  <c r="F837" i="4"/>
  <c r="G836" i="4"/>
  <c r="F836" i="4"/>
  <c r="G835" i="4"/>
  <c r="F835" i="4"/>
  <c r="G834" i="4"/>
  <c r="F834" i="4"/>
  <c r="G833" i="4"/>
  <c r="F833" i="4"/>
  <c r="G832" i="4"/>
  <c r="F832" i="4"/>
  <c r="I831" i="4"/>
  <c r="H831" i="4"/>
  <c r="E831" i="4"/>
  <c r="G830" i="4"/>
  <c r="F830" i="4"/>
  <c r="G829" i="4"/>
  <c r="F829" i="4"/>
  <c r="G828" i="4"/>
  <c r="F828" i="4"/>
  <c r="G827" i="4"/>
  <c r="F827" i="4"/>
  <c r="G826" i="4"/>
  <c r="F826" i="4"/>
  <c r="G825" i="4"/>
  <c r="F825" i="4"/>
  <c r="G824" i="4"/>
  <c r="F824" i="4"/>
  <c r="G823" i="4"/>
  <c r="F823" i="4"/>
  <c r="I822" i="4"/>
  <c r="H822" i="4"/>
  <c r="E822" i="4"/>
  <c r="G820" i="4"/>
  <c r="F820" i="4"/>
  <c r="G819" i="4"/>
  <c r="F819" i="4"/>
  <c r="G818" i="4"/>
  <c r="F818" i="4"/>
  <c r="G817" i="4"/>
  <c r="F817" i="4"/>
  <c r="G816" i="4"/>
  <c r="F816" i="4"/>
  <c r="G815" i="4"/>
  <c r="F815" i="4"/>
  <c r="G814" i="4"/>
  <c r="F814" i="4"/>
  <c r="G813" i="4"/>
  <c r="F813" i="4"/>
  <c r="I812" i="4"/>
  <c r="H812" i="4"/>
  <c r="E812" i="4"/>
  <c r="G811" i="4"/>
  <c r="F811" i="4"/>
  <c r="G810" i="4"/>
  <c r="F810" i="4"/>
  <c r="G809" i="4"/>
  <c r="F809" i="4"/>
  <c r="G808" i="4"/>
  <c r="F808" i="4"/>
  <c r="G807" i="4"/>
  <c r="F807" i="4"/>
  <c r="G806" i="4"/>
  <c r="F806" i="4"/>
  <c r="G805" i="4"/>
  <c r="F805" i="4"/>
  <c r="G804" i="4"/>
  <c r="F804" i="4"/>
  <c r="G803" i="4"/>
  <c r="F803" i="4"/>
  <c r="G802" i="4"/>
  <c r="F802" i="4"/>
  <c r="G801" i="4"/>
  <c r="F801" i="4"/>
  <c r="G800" i="4"/>
  <c r="F800" i="4"/>
  <c r="I799" i="4"/>
  <c r="H799" i="4"/>
  <c r="E799" i="4"/>
  <c r="G798" i="4"/>
  <c r="F798" i="4"/>
  <c r="G797" i="4"/>
  <c r="F797" i="4"/>
  <c r="G796" i="4"/>
  <c r="F796" i="4"/>
  <c r="G795" i="4"/>
  <c r="F795" i="4"/>
  <c r="G794" i="4"/>
  <c r="F794" i="4"/>
  <c r="G793" i="4"/>
  <c r="F793" i="4"/>
  <c r="G792" i="4"/>
  <c r="F792" i="4"/>
  <c r="G791" i="4"/>
  <c r="F791" i="4"/>
  <c r="I790" i="4"/>
  <c r="H790" i="4"/>
  <c r="E790" i="4"/>
  <c r="G789" i="4"/>
  <c r="F789" i="4"/>
  <c r="G788" i="4"/>
  <c r="F788" i="4"/>
  <c r="G787" i="4"/>
  <c r="F787" i="4"/>
  <c r="G786" i="4"/>
  <c r="F786" i="4"/>
  <c r="G785" i="4"/>
  <c r="F785" i="4"/>
  <c r="G784" i="4"/>
  <c r="F784" i="4"/>
  <c r="G783" i="4"/>
  <c r="F783" i="4"/>
  <c r="G782" i="4"/>
  <c r="F782" i="4"/>
  <c r="I781" i="4"/>
  <c r="H781" i="4"/>
  <c r="E781" i="4"/>
  <c r="G780" i="4"/>
  <c r="F780" i="4"/>
  <c r="G779" i="4"/>
  <c r="F779" i="4"/>
  <c r="G778" i="4"/>
  <c r="F778" i="4"/>
  <c r="G777" i="4"/>
  <c r="F777" i="4"/>
  <c r="G776" i="4"/>
  <c r="F776" i="4"/>
  <c r="G775" i="4"/>
  <c r="F775" i="4"/>
  <c r="G774" i="4"/>
  <c r="F774" i="4"/>
  <c r="G773" i="4"/>
  <c r="F773" i="4"/>
  <c r="I772" i="4"/>
  <c r="H772" i="4"/>
  <c r="F772" i="4"/>
  <c r="E772" i="4"/>
  <c r="G771" i="4"/>
  <c r="F771" i="4"/>
  <c r="G770" i="4"/>
  <c r="F770" i="4"/>
  <c r="G769" i="4"/>
  <c r="F769" i="4"/>
  <c r="G768" i="4"/>
  <c r="F768" i="4"/>
  <c r="G767" i="4"/>
  <c r="F767" i="4"/>
  <c r="G766" i="4"/>
  <c r="F766" i="4"/>
  <c r="G765" i="4"/>
  <c r="F765" i="4"/>
  <c r="G764" i="4"/>
  <c r="F764" i="4"/>
  <c r="G763" i="4"/>
  <c r="F763" i="4"/>
  <c r="G762" i="4"/>
  <c r="F762" i="4"/>
  <c r="G761" i="4"/>
  <c r="F761" i="4"/>
  <c r="G760" i="4"/>
  <c r="F760" i="4"/>
  <c r="G759" i="4"/>
  <c r="F759" i="4"/>
  <c r="G758" i="4"/>
  <c r="F758" i="4"/>
  <c r="G757" i="4"/>
  <c r="F757" i="4"/>
  <c r="G756" i="4"/>
  <c r="F756" i="4"/>
  <c r="G755" i="4"/>
  <c r="F755" i="4"/>
  <c r="G754" i="4"/>
  <c r="F754" i="4"/>
  <c r="G753" i="4"/>
  <c r="F753" i="4"/>
  <c r="G752" i="4"/>
  <c r="F752" i="4"/>
  <c r="G751" i="4"/>
  <c r="F751" i="4"/>
  <c r="G750" i="4"/>
  <c r="F750" i="4"/>
  <c r="G749" i="4"/>
  <c r="F749" i="4"/>
  <c r="G748" i="4"/>
  <c r="F748" i="4"/>
  <c r="G747" i="4"/>
  <c r="F747" i="4"/>
  <c r="G746" i="4"/>
  <c r="F746" i="4"/>
  <c r="G745" i="4"/>
  <c r="F745" i="4"/>
  <c r="G744" i="4"/>
  <c r="F744" i="4"/>
  <c r="G743" i="4"/>
  <c r="F743" i="4"/>
  <c r="G742" i="4"/>
  <c r="F742" i="4"/>
  <c r="G741" i="4"/>
  <c r="F741" i="4"/>
  <c r="G740" i="4"/>
  <c r="F740" i="4"/>
  <c r="G739" i="4"/>
  <c r="F739" i="4"/>
  <c r="G738" i="4"/>
  <c r="F738" i="4"/>
  <c r="G737" i="4"/>
  <c r="F737" i="4"/>
  <c r="G736" i="4"/>
  <c r="F736" i="4"/>
  <c r="G735" i="4"/>
  <c r="F735" i="4"/>
  <c r="I734" i="4"/>
  <c r="H734" i="4"/>
  <c r="E734" i="4"/>
  <c r="G732" i="4"/>
  <c r="F732" i="4"/>
  <c r="G731" i="4"/>
  <c r="F731" i="4"/>
  <c r="G730" i="4"/>
  <c r="F730" i="4"/>
  <c r="G729" i="4"/>
  <c r="F729" i="4"/>
  <c r="G728" i="4"/>
  <c r="F728" i="4"/>
  <c r="G727" i="4"/>
  <c r="F727" i="4"/>
  <c r="G726" i="4"/>
  <c r="F726" i="4"/>
  <c r="G725" i="4"/>
  <c r="F725" i="4"/>
  <c r="I724" i="4"/>
  <c r="H724" i="4"/>
  <c r="E724" i="4"/>
  <c r="G723" i="4"/>
  <c r="F723" i="4"/>
  <c r="G722" i="4"/>
  <c r="F722" i="4"/>
  <c r="G721" i="4"/>
  <c r="F721" i="4"/>
  <c r="G720" i="4"/>
  <c r="F720" i="4"/>
  <c r="G719" i="4"/>
  <c r="F719" i="4"/>
  <c r="G718" i="4"/>
  <c r="F718" i="4"/>
  <c r="G717" i="4"/>
  <c r="F717" i="4"/>
  <c r="G716" i="4"/>
  <c r="F716" i="4"/>
  <c r="I715" i="4"/>
  <c r="H715" i="4"/>
  <c r="E715" i="4"/>
  <c r="G714" i="4"/>
  <c r="F714" i="4"/>
  <c r="G713" i="4"/>
  <c r="F713" i="4"/>
  <c r="G712" i="4"/>
  <c r="F712" i="4"/>
  <c r="G711" i="4"/>
  <c r="F711" i="4"/>
  <c r="G710" i="4"/>
  <c r="F710" i="4"/>
  <c r="G709" i="4"/>
  <c r="F709" i="4"/>
  <c r="G708" i="4"/>
  <c r="F708" i="4"/>
  <c r="G707" i="4"/>
  <c r="F707" i="4"/>
  <c r="I706" i="4"/>
  <c r="H706" i="4"/>
  <c r="E706" i="4"/>
  <c r="G705" i="4"/>
  <c r="F705" i="4"/>
  <c r="G704" i="4"/>
  <c r="F704" i="4"/>
  <c r="G703" i="4"/>
  <c r="F703" i="4"/>
  <c r="G702" i="4"/>
  <c r="F702" i="4"/>
  <c r="G701" i="4"/>
  <c r="F701" i="4"/>
  <c r="G700" i="4"/>
  <c r="F700" i="4"/>
  <c r="G699" i="4"/>
  <c r="F699" i="4"/>
  <c r="G698" i="4"/>
  <c r="F698" i="4"/>
  <c r="I697" i="4"/>
  <c r="H697" i="4"/>
  <c r="E697" i="4"/>
  <c r="G696" i="4"/>
  <c r="F696" i="4"/>
  <c r="G695" i="4"/>
  <c r="F695" i="4"/>
  <c r="G694" i="4"/>
  <c r="F694" i="4"/>
  <c r="G693" i="4"/>
  <c r="F693" i="4"/>
  <c r="G692" i="4"/>
  <c r="F692" i="4"/>
  <c r="G691" i="4"/>
  <c r="F691" i="4"/>
  <c r="G690" i="4"/>
  <c r="F690" i="4"/>
  <c r="G689" i="4"/>
  <c r="F689" i="4"/>
  <c r="I688" i="4"/>
  <c r="H688" i="4"/>
  <c r="E688" i="4"/>
  <c r="G687" i="4"/>
  <c r="F687" i="4"/>
  <c r="G686" i="4"/>
  <c r="F686" i="4"/>
  <c r="G685" i="4"/>
  <c r="F685" i="4"/>
  <c r="G684" i="4"/>
  <c r="F684" i="4"/>
  <c r="G683" i="4"/>
  <c r="F683" i="4"/>
  <c r="G682" i="4"/>
  <c r="F682" i="4"/>
  <c r="G681" i="4"/>
  <c r="F681" i="4"/>
  <c r="G680" i="4"/>
  <c r="F680" i="4"/>
  <c r="I679" i="4"/>
  <c r="H679" i="4"/>
  <c r="E679" i="4"/>
  <c r="G677" i="4"/>
  <c r="F677" i="4"/>
  <c r="G676" i="4"/>
  <c r="F676" i="4"/>
  <c r="G675" i="4"/>
  <c r="F675" i="4"/>
  <c r="G674" i="4"/>
  <c r="F674" i="4"/>
  <c r="G673" i="4"/>
  <c r="F673" i="4"/>
  <c r="G672" i="4"/>
  <c r="F672" i="4"/>
  <c r="G671" i="4"/>
  <c r="F671" i="4"/>
  <c r="G670" i="4"/>
  <c r="F670" i="4"/>
  <c r="I669" i="4"/>
  <c r="H669" i="4"/>
  <c r="E669" i="4"/>
  <c r="G668" i="4"/>
  <c r="F668" i="4"/>
  <c r="G667" i="4"/>
  <c r="F667" i="4"/>
  <c r="G666" i="4"/>
  <c r="F666" i="4"/>
  <c r="G665" i="4"/>
  <c r="F665" i="4"/>
  <c r="G664" i="4"/>
  <c r="F664" i="4"/>
  <c r="G663" i="4"/>
  <c r="F663" i="4"/>
  <c r="G662" i="4"/>
  <c r="F662" i="4"/>
  <c r="G661" i="4"/>
  <c r="F661" i="4"/>
  <c r="I660" i="4"/>
  <c r="H660" i="4"/>
  <c r="E660" i="4"/>
  <c r="G659" i="4"/>
  <c r="F659" i="4"/>
  <c r="G658" i="4"/>
  <c r="F658" i="4"/>
  <c r="G657" i="4"/>
  <c r="F657" i="4"/>
  <c r="G656" i="4"/>
  <c r="F656" i="4"/>
  <c r="G655" i="4"/>
  <c r="F655" i="4"/>
  <c r="G654" i="4"/>
  <c r="F654" i="4"/>
  <c r="G653" i="4"/>
  <c r="F653" i="4"/>
  <c r="G652" i="4"/>
  <c r="F652" i="4"/>
  <c r="I651" i="4"/>
  <c r="H651" i="4"/>
  <c r="E651" i="4"/>
  <c r="G650" i="4"/>
  <c r="F650" i="4"/>
  <c r="G649" i="4"/>
  <c r="F649" i="4"/>
  <c r="G648" i="4"/>
  <c r="F648" i="4"/>
  <c r="G647" i="4"/>
  <c r="F647" i="4"/>
  <c r="G646" i="4"/>
  <c r="F646" i="4"/>
  <c r="G645" i="4"/>
  <c r="F645" i="4"/>
  <c r="G644" i="4"/>
  <c r="F644" i="4"/>
  <c r="G643" i="4"/>
  <c r="F643" i="4"/>
  <c r="I642" i="4"/>
  <c r="H642" i="4"/>
  <c r="E642" i="4"/>
  <c r="G641" i="4"/>
  <c r="F641" i="4"/>
  <c r="G640" i="4"/>
  <c r="F640" i="4"/>
  <c r="G639" i="4"/>
  <c r="F639" i="4"/>
  <c r="G638" i="4"/>
  <c r="F638" i="4"/>
  <c r="G637" i="4"/>
  <c r="F637" i="4"/>
  <c r="G636" i="4"/>
  <c r="F636" i="4"/>
  <c r="G635" i="4"/>
  <c r="F635" i="4"/>
  <c r="G634" i="4"/>
  <c r="F634" i="4"/>
  <c r="I633" i="4"/>
  <c r="H633" i="4"/>
  <c r="E633" i="4"/>
  <c r="G632" i="4"/>
  <c r="F632" i="4"/>
  <c r="G631" i="4"/>
  <c r="F631" i="4"/>
  <c r="G630" i="4"/>
  <c r="F630" i="4"/>
  <c r="G629" i="4"/>
  <c r="F629" i="4"/>
  <c r="G628" i="4"/>
  <c r="F628" i="4"/>
  <c r="G627" i="4"/>
  <c r="F627" i="4"/>
  <c r="G626" i="4"/>
  <c r="F626" i="4"/>
  <c r="G625" i="4"/>
  <c r="F625" i="4"/>
  <c r="I624" i="4"/>
  <c r="H624" i="4"/>
  <c r="E624" i="4"/>
  <c r="G622" i="4"/>
  <c r="F622" i="4"/>
  <c r="G621" i="4"/>
  <c r="F621" i="4"/>
  <c r="G620" i="4"/>
  <c r="F620" i="4"/>
  <c r="G619" i="4"/>
  <c r="F619" i="4"/>
  <c r="G618" i="4"/>
  <c r="F618" i="4"/>
  <c r="G617" i="4"/>
  <c r="F617" i="4"/>
  <c r="G616" i="4"/>
  <c r="F616" i="4"/>
  <c r="G615" i="4"/>
  <c r="F615" i="4"/>
  <c r="I614" i="4"/>
  <c r="H614" i="4"/>
  <c r="E614" i="4"/>
  <c r="G613" i="4"/>
  <c r="F613" i="4"/>
  <c r="G612" i="4"/>
  <c r="F612" i="4"/>
  <c r="G611" i="4"/>
  <c r="F611" i="4"/>
  <c r="G610" i="4"/>
  <c r="F610" i="4"/>
  <c r="G609" i="4"/>
  <c r="F609" i="4"/>
  <c r="G608" i="4"/>
  <c r="F608" i="4"/>
  <c r="G607" i="4"/>
  <c r="F607" i="4"/>
  <c r="G606" i="4"/>
  <c r="F606" i="4"/>
  <c r="I605" i="4"/>
  <c r="H605" i="4"/>
  <c r="E605" i="4"/>
  <c r="G604" i="4"/>
  <c r="F604" i="4"/>
  <c r="G603" i="4"/>
  <c r="F603" i="4"/>
  <c r="G602" i="4"/>
  <c r="F602" i="4"/>
  <c r="G601" i="4"/>
  <c r="F601" i="4"/>
  <c r="G600" i="4"/>
  <c r="F600" i="4"/>
  <c r="G599" i="4"/>
  <c r="F599" i="4"/>
  <c r="G598" i="4"/>
  <c r="F598" i="4"/>
  <c r="G597" i="4"/>
  <c r="F597" i="4"/>
  <c r="I596" i="4"/>
  <c r="H596" i="4"/>
  <c r="E596" i="4"/>
  <c r="G595" i="4"/>
  <c r="F595" i="4"/>
  <c r="G594" i="4"/>
  <c r="F594" i="4"/>
  <c r="G593" i="4"/>
  <c r="F593" i="4"/>
  <c r="G592" i="4"/>
  <c r="F592" i="4"/>
  <c r="G591" i="4"/>
  <c r="F591" i="4"/>
  <c r="G590" i="4"/>
  <c r="F590" i="4"/>
  <c r="G589" i="4"/>
  <c r="F589" i="4"/>
  <c r="G588" i="4"/>
  <c r="F588" i="4"/>
  <c r="I587" i="4"/>
  <c r="H587" i="4"/>
  <c r="E587" i="4"/>
  <c r="G586" i="4"/>
  <c r="F586" i="4"/>
  <c r="G585" i="4"/>
  <c r="F585" i="4"/>
  <c r="G584" i="4"/>
  <c r="F584" i="4"/>
  <c r="G583" i="4"/>
  <c r="F583" i="4"/>
  <c r="G582" i="4"/>
  <c r="F582" i="4"/>
  <c r="G581" i="4"/>
  <c r="F581" i="4"/>
  <c r="G580" i="4"/>
  <c r="F580" i="4"/>
  <c r="G579" i="4"/>
  <c r="F579" i="4"/>
  <c r="I578" i="4"/>
  <c r="H578" i="4"/>
  <c r="E578" i="4"/>
  <c r="G577" i="4"/>
  <c r="F577" i="4"/>
  <c r="G576" i="4"/>
  <c r="F576" i="4"/>
  <c r="G575" i="4"/>
  <c r="F575" i="4"/>
  <c r="G574" i="4"/>
  <c r="F574" i="4"/>
  <c r="G573" i="4"/>
  <c r="F573" i="4"/>
  <c r="G572" i="4"/>
  <c r="F572" i="4"/>
  <c r="G571" i="4"/>
  <c r="F571" i="4"/>
  <c r="G570" i="4"/>
  <c r="F570" i="4"/>
  <c r="I569" i="4"/>
  <c r="H569" i="4"/>
  <c r="E569" i="4"/>
  <c r="G567" i="4"/>
  <c r="F567" i="4"/>
  <c r="G566" i="4"/>
  <c r="F566" i="4"/>
  <c r="G565" i="4"/>
  <c r="F565" i="4"/>
  <c r="G564" i="4"/>
  <c r="F564" i="4"/>
  <c r="G563" i="4"/>
  <c r="F563" i="4"/>
  <c r="G562" i="4"/>
  <c r="F562" i="4"/>
  <c r="G561" i="4"/>
  <c r="F561" i="4"/>
  <c r="G560" i="4"/>
  <c r="F560" i="4"/>
  <c r="I559" i="4"/>
  <c r="H559" i="4"/>
  <c r="E559" i="4"/>
  <c r="G558" i="4"/>
  <c r="F558" i="4"/>
  <c r="G557" i="4"/>
  <c r="F557" i="4"/>
  <c r="G556" i="4"/>
  <c r="F556" i="4"/>
  <c r="G555" i="4"/>
  <c r="F555" i="4"/>
  <c r="G554" i="4"/>
  <c r="F554" i="4"/>
  <c r="G553" i="4"/>
  <c r="F553" i="4"/>
  <c r="G552" i="4"/>
  <c r="F552" i="4"/>
  <c r="G551" i="4"/>
  <c r="F551" i="4"/>
  <c r="I550" i="4"/>
  <c r="H550" i="4"/>
  <c r="E550" i="4"/>
  <c r="G549" i="4"/>
  <c r="F549" i="4"/>
  <c r="G548" i="4"/>
  <c r="F548" i="4"/>
  <c r="G547" i="4"/>
  <c r="F547" i="4"/>
  <c r="G546" i="4"/>
  <c r="F546" i="4"/>
  <c r="G545" i="4"/>
  <c r="F545" i="4"/>
  <c r="G544" i="4"/>
  <c r="F544" i="4"/>
  <c r="G543" i="4"/>
  <c r="F543" i="4"/>
  <c r="G542" i="4"/>
  <c r="F542" i="4"/>
  <c r="I541" i="4"/>
  <c r="H541" i="4"/>
  <c r="E541" i="4"/>
  <c r="G540" i="4"/>
  <c r="F540" i="4"/>
  <c r="G539" i="4"/>
  <c r="F539" i="4"/>
  <c r="G538" i="4"/>
  <c r="F538" i="4"/>
  <c r="G537" i="4"/>
  <c r="F537" i="4"/>
  <c r="G536" i="4"/>
  <c r="F536" i="4"/>
  <c r="G535" i="4"/>
  <c r="F535" i="4"/>
  <c r="G534" i="4"/>
  <c r="F534" i="4"/>
  <c r="G533" i="4"/>
  <c r="F533" i="4"/>
  <c r="I532" i="4"/>
  <c r="H532" i="4"/>
  <c r="E532" i="4"/>
  <c r="G531" i="4"/>
  <c r="F531" i="4"/>
  <c r="G530" i="4"/>
  <c r="F530" i="4"/>
  <c r="G529" i="4"/>
  <c r="F529" i="4"/>
  <c r="G528" i="4"/>
  <c r="F528" i="4"/>
  <c r="G527" i="4"/>
  <c r="F527" i="4"/>
  <c r="G526" i="4"/>
  <c r="F526" i="4"/>
  <c r="G525" i="4"/>
  <c r="F525" i="4"/>
  <c r="G524" i="4"/>
  <c r="F524" i="4"/>
  <c r="I523" i="4"/>
  <c r="H523" i="4"/>
  <c r="E523" i="4"/>
  <c r="G522" i="4"/>
  <c r="F522" i="4"/>
  <c r="G521" i="4"/>
  <c r="F521" i="4"/>
  <c r="G520" i="4"/>
  <c r="F520" i="4"/>
  <c r="G519" i="4"/>
  <c r="F519" i="4"/>
  <c r="G518" i="4"/>
  <c r="F518" i="4"/>
  <c r="G517" i="4"/>
  <c r="F517" i="4"/>
  <c r="G516" i="4"/>
  <c r="F516" i="4"/>
  <c r="G515" i="4"/>
  <c r="F515" i="4"/>
  <c r="I514" i="4"/>
  <c r="H514" i="4"/>
  <c r="E514" i="4"/>
  <c r="G512" i="4"/>
  <c r="F512" i="4"/>
  <c r="G511" i="4"/>
  <c r="F511" i="4"/>
  <c r="G510" i="4"/>
  <c r="F510" i="4"/>
  <c r="G509" i="4"/>
  <c r="F509" i="4"/>
  <c r="G508" i="4"/>
  <c r="F508" i="4"/>
  <c r="G507" i="4"/>
  <c r="F507" i="4"/>
  <c r="G506" i="4"/>
  <c r="F506" i="4"/>
  <c r="G505" i="4"/>
  <c r="F505" i="4"/>
  <c r="I504" i="4"/>
  <c r="H504" i="4"/>
  <c r="E504" i="4"/>
  <c r="G503" i="4"/>
  <c r="F503" i="4"/>
  <c r="G502" i="4"/>
  <c r="F502" i="4"/>
  <c r="G501" i="4"/>
  <c r="F501" i="4"/>
  <c r="G500" i="4"/>
  <c r="F500" i="4"/>
  <c r="G499" i="4"/>
  <c r="F499" i="4"/>
  <c r="G498" i="4"/>
  <c r="F498" i="4"/>
  <c r="G497" i="4"/>
  <c r="F497" i="4"/>
  <c r="G496" i="4"/>
  <c r="F496" i="4"/>
  <c r="I495" i="4"/>
  <c r="H495" i="4"/>
  <c r="E495" i="4"/>
  <c r="G494" i="4"/>
  <c r="F494" i="4"/>
  <c r="G493" i="4"/>
  <c r="F493" i="4"/>
  <c r="G492" i="4"/>
  <c r="F492" i="4"/>
  <c r="G491" i="4"/>
  <c r="F491" i="4"/>
  <c r="G490" i="4"/>
  <c r="F490" i="4"/>
  <c r="G489" i="4"/>
  <c r="F489" i="4"/>
  <c r="G488" i="4"/>
  <c r="F488" i="4"/>
  <c r="G487" i="4"/>
  <c r="F487" i="4"/>
  <c r="I486" i="4"/>
  <c r="H486" i="4"/>
  <c r="E486" i="4"/>
  <c r="G485" i="4"/>
  <c r="F485" i="4"/>
  <c r="G484" i="4"/>
  <c r="F484" i="4"/>
  <c r="G483" i="4"/>
  <c r="F483" i="4"/>
  <c r="G482" i="4"/>
  <c r="F482" i="4"/>
  <c r="G481" i="4"/>
  <c r="F481" i="4"/>
  <c r="G480" i="4"/>
  <c r="F480" i="4"/>
  <c r="G479" i="4"/>
  <c r="F479" i="4"/>
  <c r="G478" i="4"/>
  <c r="F478" i="4"/>
  <c r="I477" i="4"/>
  <c r="H477" i="4"/>
  <c r="E477" i="4"/>
  <c r="G476" i="4"/>
  <c r="F476" i="4"/>
  <c r="G475" i="4"/>
  <c r="F475" i="4"/>
  <c r="G474" i="4"/>
  <c r="F474" i="4"/>
  <c r="G473" i="4"/>
  <c r="F473" i="4"/>
  <c r="G472" i="4"/>
  <c r="F472" i="4"/>
  <c r="G471" i="4"/>
  <c r="F471" i="4"/>
  <c r="G470" i="4"/>
  <c r="F470" i="4"/>
  <c r="G469" i="4"/>
  <c r="F469" i="4"/>
  <c r="I468" i="4"/>
  <c r="H468" i="4"/>
  <c r="E468" i="4"/>
  <c r="G467" i="4"/>
  <c r="F467" i="4"/>
  <c r="G466" i="4"/>
  <c r="F466" i="4"/>
  <c r="G465" i="4"/>
  <c r="F465" i="4"/>
  <c r="G464" i="4"/>
  <c r="F464" i="4"/>
  <c r="G463" i="4"/>
  <c r="F463" i="4"/>
  <c r="G462" i="4"/>
  <c r="F462" i="4"/>
  <c r="G461" i="4"/>
  <c r="F461" i="4"/>
  <c r="G460" i="4"/>
  <c r="F460" i="4"/>
  <c r="I459" i="4"/>
  <c r="H459" i="4"/>
  <c r="E459" i="4"/>
  <c r="G457" i="4"/>
  <c r="F457" i="4"/>
  <c r="G456" i="4"/>
  <c r="F456" i="4"/>
  <c r="G455" i="4"/>
  <c r="F455" i="4"/>
  <c r="G454" i="4"/>
  <c r="F454" i="4"/>
  <c r="G453" i="4"/>
  <c r="F453" i="4"/>
  <c r="G452" i="4"/>
  <c r="F452" i="4"/>
  <c r="G451" i="4"/>
  <c r="F451" i="4"/>
  <c r="G450" i="4"/>
  <c r="F450" i="4"/>
  <c r="I449" i="4"/>
  <c r="H449" i="4"/>
  <c r="E449" i="4"/>
  <c r="G448" i="4"/>
  <c r="F448" i="4"/>
  <c r="G447" i="4"/>
  <c r="F447" i="4"/>
  <c r="G446" i="4"/>
  <c r="F446" i="4"/>
  <c r="G445" i="4"/>
  <c r="F445" i="4"/>
  <c r="G444" i="4"/>
  <c r="F444" i="4"/>
  <c r="G443" i="4"/>
  <c r="F443" i="4"/>
  <c r="G442" i="4"/>
  <c r="F442" i="4"/>
  <c r="G441" i="4"/>
  <c r="F441" i="4"/>
  <c r="I440" i="4"/>
  <c r="H440" i="4"/>
  <c r="E440" i="4"/>
  <c r="G439" i="4"/>
  <c r="F439" i="4"/>
  <c r="G438" i="4"/>
  <c r="F438" i="4"/>
  <c r="G437" i="4"/>
  <c r="F437" i="4"/>
  <c r="G436" i="4"/>
  <c r="F436" i="4"/>
  <c r="G435" i="4"/>
  <c r="F435" i="4"/>
  <c r="G434" i="4"/>
  <c r="F434" i="4"/>
  <c r="G433" i="4"/>
  <c r="F433" i="4"/>
  <c r="G432" i="4"/>
  <c r="F432" i="4"/>
  <c r="I431" i="4"/>
  <c r="H431" i="4"/>
  <c r="E431" i="4"/>
  <c r="G430" i="4"/>
  <c r="F430" i="4"/>
  <c r="G429" i="4"/>
  <c r="F429" i="4"/>
  <c r="G428" i="4"/>
  <c r="F428" i="4"/>
  <c r="G427" i="4"/>
  <c r="F427" i="4"/>
  <c r="G426" i="4"/>
  <c r="F426" i="4"/>
  <c r="G425" i="4"/>
  <c r="F425" i="4"/>
  <c r="G424" i="4"/>
  <c r="F424" i="4"/>
  <c r="G423" i="4"/>
  <c r="F423" i="4"/>
  <c r="I422" i="4"/>
  <c r="H422" i="4"/>
  <c r="E422" i="4"/>
  <c r="G421" i="4"/>
  <c r="F421" i="4"/>
  <c r="G420" i="4"/>
  <c r="F420" i="4"/>
  <c r="G419" i="4"/>
  <c r="F419" i="4"/>
  <c r="G418" i="4"/>
  <c r="F418" i="4"/>
  <c r="G417" i="4"/>
  <c r="F417" i="4"/>
  <c r="G416" i="4"/>
  <c r="F416" i="4"/>
  <c r="G415" i="4"/>
  <c r="F415" i="4"/>
  <c r="G414" i="4"/>
  <c r="F414" i="4"/>
  <c r="I413" i="4"/>
  <c r="H413" i="4"/>
  <c r="E413" i="4"/>
  <c r="G412" i="4"/>
  <c r="F412" i="4"/>
  <c r="G411" i="4"/>
  <c r="F411" i="4"/>
  <c r="G410" i="4"/>
  <c r="F410" i="4"/>
  <c r="G409" i="4"/>
  <c r="F409" i="4"/>
  <c r="G408" i="4"/>
  <c r="F408" i="4"/>
  <c r="G407" i="4"/>
  <c r="F407" i="4"/>
  <c r="G406" i="4"/>
  <c r="F406" i="4"/>
  <c r="G405" i="4"/>
  <c r="F405" i="4"/>
  <c r="I404" i="4"/>
  <c r="H404" i="4"/>
  <c r="E404" i="4"/>
  <c r="G402" i="4"/>
  <c r="F402" i="4"/>
  <c r="G401" i="4"/>
  <c r="F401" i="4"/>
  <c r="G400" i="4"/>
  <c r="F400" i="4"/>
  <c r="G399" i="4"/>
  <c r="F399" i="4"/>
  <c r="G398" i="4"/>
  <c r="F398" i="4"/>
  <c r="G397" i="4"/>
  <c r="F397" i="4"/>
  <c r="G396" i="4"/>
  <c r="F396" i="4"/>
  <c r="G395" i="4"/>
  <c r="F395" i="4"/>
  <c r="I394" i="4"/>
  <c r="H394" i="4"/>
  <c r="F394" i="4" s="1"/>
  <c r="E394" i="4"/>
  <c r="G393" i="4"/>
  <c r="F393" i="4"/>
  <c r="G392" i="4"/>
  <c r="F392" i="4"/>
  <c r="G391" i="4"/>
  <c r="F391" i="4"/>
  <c r="G390" i="4"/>
  <c r="F390" i="4"/>
  <c r="G389" i="4"/>
  <c r="F389" i="4"/>
  <c r="G388" i="4"/>
  <c r="F388" i="4"/>
  <c r="G387" i="4"/>
  <c r="F387" i="4"/>
  <c r="G386" i="4"/>
  <c r="F386" i="4"/>
  <c r="I385" i="4"/>
  <c r="H385" i="4"/>
  <c r="E385" i="4"/>
  <c r="G384" i="4"/>
  <c r="F384" i="4"/>
  <c r="G383" i="4"/>
  <c r="F383" i="4"/>
  <c r="G382" i="4"/>
  <c r="F382" i="4"/>
  <c r="G381" i="4"/>
  <c r="F381" i="4"/>
  <c r="G380" i="4"/>
  <c r="F380" i="4"/>
  <c r="G379" i="4"/>
  <c r="F379" i="4"/>
  <c r="G378" i="4"/>
  <c r="F378" i="4"/>
  <c r="G377" i="4"/>
  <c r="F377" i="4"/>
  <c r="I376" i="4"/>
  <c r="H376" i="4"/>
  <c r="E376" i="4"/>
  <c r="G375" i="4"/>
  <c r="F375" i="4"/>
  <c r="G374" i="4"/>
  <c r="F374" i="4"/>
  <c r="G373" i="4"/>
  <c r="F373" i="4"/>
  <c r="G372" i="4"/>
  <c r="F372" i="4"/>
  <c r="G371" i="4"/>
  <c r="F371" i="4"/>
  <c r="G370" i="4"/>
  <c r="F370" i="4"/>
  <c r="G369" i="4"/>
  <c r="F369" i="4"/>
  <c r="G368" i="4"/>
  <c r="F368" i="4"/>
  <c r="I367" i="4"/>
  <c r="H367" i="4"/>
  <c r="E367" i="4"/>
  <c r="G366" i="4"/>
  <c r="F366" i="4"/>
  <c r="G365" i="4"/>
  <c r="F365" i="4"/>
  <c r="G364" i="4"/>
  <c r="F364" i="4"/>
  <c r="G363" i="4"/>
  <c r="F363" i="4"/>
  <c r="G362" i="4"/>
  <c r="F362" i="4"/>
  <c r="G361" i="4"/>
  <c r="F361" i="4"/>
  <c r="G360" i="4"/>
  <c r="F360" i="4"/>
  <c r="G359" i="4"/>
  <c r="F359" i="4"/>
  <c r="I358" i="4"/>
  <c r="H358" i="4"/>
  <c r="E358" i="4"/>
  <c r="G357" i="4"/>
  <c r="F357" i="4"/>
  <c r="G356" i="4"/>
  <c r="F356" i="4"/>
  <c r="G355" i="4"/>
  <c r="F355" i="4"/>
  <c r="G354" i="4"/>
  <c r="F354" i="4"/>
  <c r="G353" i="4"/>
  <c r="F353" i="4"/>
  <c r="G352" i="4"/>
  <c r="F352" i="4"/>
  <c r="G351" i="4"/>
  <c r="F351" i="4"/>
  <c r="G350" i="4"/>
  <c r="F350" i="4"/>
  <c r="G349" i="4"/>
  <c r="F349" i="4"/>
  <c r="G348" i="4"/>
  <c r="F348" i="4"/>
  <c r="G347" i="4"/>
  <c r="F347" i="4"/>
  <c r="I346" i="4"/>
  <c r="H346" i="4"/>
  <c r="E346" i="4"/>
  <c r="G344" i="4"/>
  <c r="F344" i="4"/>
  <c r="G343" i="4"/>
  <c r="F343" i="4"/>
  <c r="G342" i="4"/>
  <c r="F342" i="4"/>
  <c r="G341" i="4"/>
  <c r="F341" i="4"/>
  <c r="G340" i="4"/>
  <c r="F340" i="4"/>
  <c r="G339" i="4"/>
  <c r="F339" i="4"/>
  <c r="G338" i="4"/>
  <c r="F338" i="4"/>
  <c r="G337" i="4"/>
  <c r="F337" i="4"/>
  <c r="I336" i="4"/>
  <c r="H336" i="4"/>
  <c r="E336" i="4"/>
  <c r="G335" i="4"/>
  <c r="F335" i="4"/>
  <c r="G334" i="4"/>
  <c r="F334" i="4"/>
  <c r="G333" i="4"/>
  <c r="F333" i="4"/>
  <c r="G332" i="4"/>
  <c r="F332" i="4"/>
  <c r="G331" i="4"/>
  <c r="F331" i="4"/>
  <c r="G330" i="4"/>
  <c r="F330" i="4"/>
  <c r="G329" i="4"/>
  <c r="F329" i="4"/>
  <c r="G328" i="4"/>
  <c r="F328" i="4"/>
  <c r="I327" i="4"/>
  <c r="H327" i="4"/>
  <c r="E327" i="4"/>
  <c r="G326" i="4"/>
  <c r="F326" i="4"/>
  <c r="G325" i="4"/>
  <c r="F325" i="4"/>
  <c r="G324" i="4"/>
  <c r="F324" i="4"/>
  <c r="G323" i="4"/>
  <c r="F323" i="4"/>
  <c r="G322" i="4"/>
  <c r="F322" i="4"/>
  <c r="G321" i="4"/>
  <c r="F321" i="4"/>
  <c r="G320" i="4"/>
  <c r="F320" i="4"/>
  <c r="G319" i="4"/>
  <c r="F319" i="4"/>
  <c r="I318" i="4"/>
  <c r="F318" i="4" s="1"/>
  <c r="H318" i="4"/>
  <c r="E318" i="4"/>
  <c r="G317" i="4"/>
  <c r="F317" i="4"/>
  <c r="G316" i="4"/>
  <c r="F316" i="4"/>
  <c r="G315" i="4"/>
  <c r="F315" i="4"/>
  <c r="G314" i="4"/>
  <c r="F314" i="4"/>
  <c r="G313" i="4"/>
  <c r="F313" i="4"/>
  <c r="G312" i="4"/>
  <c r="F312" i="4"/>
  <c r="G311" i="4"/>
  <c r="F311" i="4"/>
  <c r="G310" i="4"/>
  <c r="F310" i="4"/>
  <c r="I309" i="4"/>
  <c r="H309" i="4"/>
  <c r="E309" i="4"/>
  <c r="G308" i="4"/>
  <c r="F308" i="4"/>
  <c r="G307" i="4"/>
  <c r="F307" i="4"/>
  <c r="G306" i="4"/>
  <c r="F306" i="4"/>
  <c r="G305" i="4"/>
  <c r="F305" i="4"/>
  <c r="G304" i="4"/>
  <c r="F304" i="4"/>
  <c r="G303" i="4"/>
  <c r="F303" i="4"/>
  <c r="G302" i="4"/>
  <c r="F302" i="4"/>
  <c r="G301" i="4"/>
  <c r="F301" i="4"/>
  <c r="G300" i="4"/>
  <c r="F300" i="4"/>
  <c r="I299" i="4"/>
  <c r="H299" i="4"/>
  <c r="E299" i="4"/>
  <c r="G298" i="4"/>
  <c r="F298" i="4"/>
  <c r="G297" i="4"/>
  <c r="F297" i="4"/>
  <c r="G296" i="4"/>
  <c r="F296" i="4"/>
  <c r="G295" i="4"/>
  <c r="F295" i="4"/>
  <c r="G294" i="4"/>
  <c r="F294" i="4"/>
  <c r="G293" i="4"/>
  <c r="F293" i="4"/>
  <c r="G292" i="4"/>
  <c r="F292" i="4"/>
  <c r="G291" i="4"/>
  <c r="F291" i="4"/>
  <c r="G290" i="4"/>
  <c r="F290" i="4"/>
  <c r="G289" i="4"/>
  <c r="F289" i="4"/>
  <c r="G288" i="4"/>
  <c r="F288" i="4"/>
  <c r="G287" i="4"/>
  <c r="F287" i="4"/>
  <c r="G286" i="4"/>
  <c r="F286" i="4"/>
  <c r="G285" i="4"/>
  <c r="F285" i="4"/>
  <c r="G284" i="4"/>
  <c r="F284" i="4"/>
  <c r="I283" i="4"/>
  <c r="H283" i="4"/>
  <c r="E283" i="4"/>
  <c r="G281" i="4"/>
  <c r="F281" i="4"/>
  <c r="G280" i="4"/>
  <c r="F280" i="4"/>
  <c r="G279" i="4"/>
  <c r="F279" i="4"/>
  <c r="G278" i="4"/>
  <c r="F278" i="4"/>
  <c r="G277" i="4"/>
  <c r="F277" i="4"/>
  <c r="G276" i="4"/>
  <c r="F276" i="4"/>
  <c r="G275" i="4"/>
  <c r="F275" i="4"/>
  <c r="G274" i="4"/>
  <c r="F274" i="4"/>
  <c r="I273" i="4"/>
  <c r="H273" i="4"/>
  <c r="E273" i="4"/>
  <c r="G272" i="4"/>
  <c r="F272" i="4"/>
  <c r="G271" i="4"/>
  <c r="F271" i="4"/>
  <c r="G270" i="4"/>
  <c r="F270" i="4"/>
  <c r="G269" i="4"/>
  <c r="F269" i="4"/>
  <c r="G268" i="4"/>
  <c r="F268" i="4"/>
  <c r="G267" i="4"/>
  <c r="F267" i="4"/>
  <c r="G266" i="4"/>
  <c r="F266" i="4"/>
  <c r="G265" i="4"/>
  <c r="F265" i="4"/>
  <c r="I264" i="4"/>
  <c r="H264" i="4"/>
  <c r="E264" i="4"/>
  <c r="G263" i="4"/>
  <c r="F263" i="4"/>
  <c r="G262" i="4"/>
  <c r="F262" i="4"/>
  <c r="G261" i="4"/>
  <c r="F261" i="4"/>
  <c r="G260" i="4"/>
  <c r="F260" i="4"/>
  <c r="G259" i="4"/>
  <c r="F259" i="4"/>
  <c r="G258" i="4"/>
  <c r="F258" i="4"/>
  <c r="G257" i="4"/>
  <c r="F257" i="4"/>
  <c r="G256" i="4"/>
  <c r="F256" i="4"/>
  <c r="I255" i="4"/>
  <c r="H255" i="4"/>
  <c r="G255" i="4" s="1"/>
  <c r="E255" i="4"/>
  <c r="G254" i="4"/>
  <c r="F254" i="4"/>
  <c r="G253" i="4"/>
  <c r="F253" i="4"/>
  <c r="G252" i="4"/>
  <c r="F252" i="4"/>
  <c r="G251" i="4"/>
  <c r="F251" i="4"/>
  <c r="G250" i="4"/>
  <c r="F250" i="4"/>
  <c r="G249" i="4"/>
  <c r="F249" i="4"/>
  <c r="G248" i="4"/>
  <c r="F248" i="4"/>
  <c r="G247" i="4"/>
  <c r="F247" i="4"/>
  <c r="I246" i="4"/>
  <c r="H246" i="4"/>
  <c r="E246" i="4"/>
  <c r="G245" i="4"/>
  <c r="F245" i="4"/>
  <c r="G244" i="4"/>
  <c r="F244" i="4"/>
  <c r="G243" i="4"/>
  <c r="F243" i="4"/>
  <c r="G242" i="4"/>
  <c r="F242" i="4"/>
  <c r="G241" i="4"/>
  <c r="F241" i="4"/>
  <c r="G240" i="4"/>
  <c r="F240" i="4"/>
  <c r="G239" i="4"/>
  <c r="F239" i="4"/>
  <c r="G238" i="4"/>
  <c r="F238" i="4"/>
  <c r="I237" i="4"/>
  <c r="H237" i="4"/>
  <c r="E237" i="4"/>
  <c r="G236" i="4"/>
  <c r="F236" i="4"/>
  <c r="G235" i="4"/>
  <c r="F235" i="4"/>
  <c r="G234" i="4"/>
  <c r="F234" i="4"/>
  <c r="G233" i="4"/>
  <c r="F233" i="4"/>
  <c r="G232" i="4"/>
  <c r="F232" i="4"/>
  <c r="G231" i="4"/>
  <c r="F231" i="4"/>
  <c r="G230" i="4"/>
  <c r="F230" i="4"/>
  <c r="G229" i="4"/>
  <c r="F229" i="4"/>
  <c r="I228" i="4"/>
  <c r="H228" i="4"/>
  <c r="E228" i="4"/>
  <c r="G226" i="4"/>
  <c r="F226" i="4"/>
  <c r="G225" i="4"/>
  <c r="F225" i="4"/>
  <c r="G224" i="4"/>
  <c r="F224" i="4"/>
  <c r="G223" i="4"/>
  <c r="F223" i="4"/>
  <c r="G222" i="4"/>
  <c r="F222" i="4"/>
  <c r="G221" i="4"/>
  <c r="F221" i="4"/>
  <c r="G220" i="4"/>
  <c r="F220" i="4"/>
  <c r="G219" i="4"/>
  <c r="F219" i="4"/>
  <c r="I218" i="4"/>
  <c r="H218" i="4"/>
  <c r="E218" i="4"/>
  <c r="G217" i="4"/>
  <c r="F217" i="4"/>
  <c r="G216" i="4"/>
  <c r="F216" i="4"/>
  <c r="G215" i="4"/>
  <c r="F215" i="4"/>
  <c r="G214" i="4"/>
  <c r="F214" i="4"/>
  <c r="G213" i="4"/>
  <c r="F213" i="4"/>
  <c r="G212" i="4"/>
  <c r="F212" i="4"/>
  <c r="G211" i="4"/>
  <c r="F211" i="4"/>
  <c r="G210" i="4"/>
  <c r="F210" i="4"/>
  <c r="I209" i="4"/>
  <c r="H209" i="4"/>
  <c r="E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G202" i="4"/>
  <c r="F202" i="4"/>
  <c r="G201" i="4"/>
  <c r="F201" i="4"/>
  <c r="I200" i="4"/>
  <c r="H200" i="4"/>
  <c r="E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I191" i="4"/>
  <c r="H191" i="4"/>
  <c r="G191" i="4" s="1"/>
  <c r="E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I182" i="4"/>
  <c r="H182" i="4"/>
  <c r="E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I173" i="4"/>
  <c r="H173" i="4"/>
  <c r="E173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I163" i="4"/>
  <c r="H163" i="4"/>
  <c r="E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I154" i="4"/>
  <c r="H154" i="4"/>
  <c r="E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I145" i="4"/>
  <c r="H145" i="4"/>
  <c r="E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I136" i="4"/>
  <c r="H136" i="4"/>
  <c r="E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I127" i="4"/>
  <c r="H127" i="4"/>
  <c r="E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I118" i="4"/>
  <c r="H118" i="4"/>
  <c r="E118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I108" i="4"/>
  <c r="H108" i="4"/>
  <c r="E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I99" i="4"/>
  <c r="H99" i="4"/>
  <c r="E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I90" i="4"/>
  <c r="H90" i="4"/>
  <c r="E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I81" i="4"/>
  <c r="H81" i="4"/>
  <c r="E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I72" i="4"/>
  <c r="H72" i="4"/>
  <c r="E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I63" i="4"/>
  <c r="H63" i="4"/>
  <c r="E63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I53" i="4"/>
  <c r="H53" i="4"/>
  <c r="E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I44" i="4"/>
  <c r="H44" i="4"/>
  <c r="E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I35" i="4"/>
  <c r="H35" i="4"/>
  <c r="E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I26" i="4"/>
  <c r="H26" i="4"/>
  <c r="E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I17" i="4"/>
  <c r="H17" i="4"/>
  <c r="E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I8" i="4"/>
  <c r="H8" i="4"/>
  <c r="E8" i="4"/>
  <c r="G5" i="4"/>
  <c r="F5" i="4"/>
  <c r="I4" i="4"/>
  <c r="I3" i="4" s="1"/>
  <c r="H4" i="4"/>
  <c r="E3" i="4"/>
  <c r="G173" i="4" l="1"/>
  <c r="G422" i="4"/>
  <c r="F413" i="4"/>
  <c r="G1255" i="4"/>
  <c r="G44" i="4"/>
  <c r="G346" i="4"/>
  <c r="G624" i="4"/>
  <c r="G772" i="4"/>
  <c r="G812" i="4"/>
  <c r="G922" i="4"/>
  <c r="G1166" i="4"/>
  <c r="F1264" i="4"/>
  <c r="F72" i="4"/>
  <c r="F136" i="4"/>
  <c r="F385" i="4"/>
  <c r="G605" i="4"/>
  <c r="G849" i="4"/>
  <c r="G959" i="4"/>
  <c r="G1069" i="4"/>
  <c r="F1175" i="4"/>
  <c r="F90" i="4"/>
  <c r="G477" i="4"/>
  <c r="G559" i="4"/>
  <c r="F358" i="4"/>
  <c r="G1042" i="4"/>
  <c r="G145" i="4"/>
  <c r="F596" i="4"/>
  <c r="G108" i="4"/>
  <c r="G200" i="4"/>
  <c r="G264" i="4"/>
  <c r="G385" i="4"/>
  <c r="F697" i="4"/>
  <c r="G1264" i="4"/>
  <c r="F913" i="4"/>
  <c r="G1023" i="4"/>
  <c r="G1202" i="4"/>
  <c r="G72" i="4"/>
  <c r="G163" i="4"/>
  <c r="G440" i="4"/>
  <c r="G486" i="4"/>
  <c r="G1175" i="4"/>
  <c r="F44" i="4"/>
  <c r="F273" i="4"/>
  <c r="G660" i="4"/>
  <c r="F840" i="4"/>
  <c r="G1014" i="4"/>
  <c r="F53" i="4"/>
  <c r="E1156" i="4"/>
  <c r="F336" i="4"/>
  <c r="G734" i="4"/>
  <c r="G867" i="4"/>
  <c r="G977" i="4"/>
  <c r="F1202" i="4"/>
  <c r="G136" i="4"/>
  <c r="F246" i="4"/>
  <c r="E458" i="4"/>
  <c r="F550" i="4"/>
  <c r="G596" i="4"/>
  <c r="G886" i="4"/>
  <c r="G996" i="4"/>
  <c r="G697" i="4"/>
  <c r="G63" i="4"/>
  <c r="F200" i="4"/>
  <c r="F706" i="4"/>
  <c r="G1060" i="4"/>
  <c r="F327" i="4"/>
  <c r="G413" i="4"/>
  <c r="G904" i="4"/>
  <c r="G1078" i="4"/>
  <c r="G1228" i="4"/>
  <c r="G449" i="4"/>
  <c r="G237" i="4"/>
  <c r="G358" i="4"/>
  <c r="F477" i="4"/>
  <c r="G541" i="4"/>
  <c r="F1032" i="4"/>
  <c r="G1120" i="4"/>
  <c r="G831" i="4"/>
  <c r="F1212" i="4"/>
  <c r="G504" i="4"/>
  <c r="G569" i="4"/>
  <c r="G614" i="4"/>
  <c r="F781" i="4"/>
  <c r="G932" i="4"/>
  <c r="G1087" i="4"/>
  <c r="G1111" i="4"/>
  <c r="F1184" i="4"/>
  <c r="G642" i="4"/>
  <c r="I821" i="4"/>
  <c r="G17" i="4"/>
  <c r="F209" i="4"/>
  <c r="G404" i="4"/>
  <c r="G587" i="4"/>
  <c r="G679" i="4"/>
  <c r="G799" i="4"/>
  <c r="G840" i="4"/>
  <c r="G950" i="4"/>
  <c r="F996" i="4"/>
  <c r="I1041" i="4"/>
  <c r="G1129" i="4"/>
  <c r="G550" i="4"/>
  <c r="F959" i="4"/>
  <c r="G1212" i="4"/>
  <c r="I282" i="4"/>
  <c r="H227" i="4"/>
  <c r="G35" i="4"/>
  <c r="I62" i="4"/>
  <c r="G336" i="4"/>
  <c r="G495" i="4"/>
  <c r="G858" i="4"/>
  <c r="G968" i="4"/>
  <c r="G1147" i="4"/>
  <c r="G1032" i="4"/>
  <c r="I1211" i="4"/>
  <c r="G81" i="4"/>
  <c r="G127" i="4"/>
  <c r="F309" i="4"/>
  <c r="G468" i="4"/>
  <c r="F514" i="4"/>
  <c r="F605" i="4"/>
  <c r="G987" i="4"/>
  <c r="G1193" i="4"/>
  <c r="F440" i="4"/>
  <c r="I513" i="4"/>
  <c r="I876" i="4"/>
  <c r="F1228" i="4"/>
  <c r="H7" i="4"/>
  <c r="F99" i="4"/>
  <c r="G299" i="4"/>
  <c r="G327" i="4"/>
  <c r="G367" i="4"/>
  <c r="G532" i="4"/>
  <c r="G669" i="4"/>
  <c r="G895" i="4"/>
  <c r="F941" i="4"/>
  <c r="G1005" i="4"/>
  <c r="G1051" i="4"/>
  <c r="F1097" i="4"/>
  <c r="F1166" i="4"/>
  <c r="H458" i="4"/>
  <c r="G913" i="4"/>
  <c r="E931" i="4"/>
  <c r="E986" i="4"/>
  <c r="I7" i="4"/>
  <c r="F486" i="4"/>
  <c r="G26" i="4"/>
  <c r="F108" i="4"/>
  <c r="G182" i="4"/>
  <c r="F237" i="4"/>
  <c r="F264" i="4"/>
  <c r="F614" i="4"/>
  <c r="F660" i="4"/>
  <c r="E678" i="4"/>
  <c r="I733" i="4"/>
  <c r="E733" i="4"/>
  <c r="F904" i="4"/>
  <c r="F932" i="4"/>
  <c r="F1060" i="4"/>
  <c r="F1111" i="4"/>
  <c r="G1138" i="4"/>
  <c r="G53" i="4"/>
  <c r="F81" i="4"/>
  <c r="G209" i="4"/>
  <c r="G283" i="4"/>
  <c r="E282" i="4"/>
  <c r="G394" i="4"/>
  <c r="F449" i="4"/>
  <c r="F504" i="4"/>
  <c r="F831" i="4"/>
  <c r="E876" i="4"/>
  <c r="F987" i="4"/>
  <c r="G1237" i="4"/>
  <c r="F877" i="4"/>
  <c r="H931" i="4"/>
  <c r="I986" i="4"/>
  <c r="G4" i="4"/>
  <c r="G99" i="4"/>
  <c r="G154" i="4"/>
  <c r="G228" i="4"/>
  <c r="F255" i="4"/>
  <c r="G318" i="4"/>
  <c r="I345" i="4"/>
  <c r="I403" i="4"/>
  <c r="G578" i="4"/>
  <c r="G633" i="4"/>
  <c r="I678" i="4"/>
  <c r="G706" i="4"/>
  <c r="G781" i="4"/>
  <c r="H876" i="4"/>
  <c r="I931" i="4"/>
  <c r="F1255" i="4"/>
  <c r="G523" i="4"/>
  <c r="G651" i="4"/>
  <c r="G724" i="4"/>
  <c r="E821" i="4"/>
  <c r="H1156" i="4"/>
  <c r="H821" i="4"/>
  <c r="G821" i="4" s="1"/>
  <c r="F849" i="4"/>
  <c r="F1005" i="4"/>
  <c r="E1211" i="4"/>
  <c r="E227" i="4"/>
  <c r="E568" i="4"/>
  <c r="E623" i="4"/>
  <c r="F17" i="4"/>
  <c r="F145" i="4"/>
  <c r="F173" i="4"/>
  <c r="E172" i="4"/>
  <c r="G273" i="4"/>
  <c r="H403" i="4"/>
  <c r="F541" i="4"/>
  <c r="F569" i="4"/>
  <c r="F977" i="4"/>
  <c r="G1157" i="4"/>
  <c r="E345" i="4"/>
  <c r="E7" i="4"/>
  <c r="F35" i="4"/>
  <c r="E62" i="4"/>
  <c r="G118" i="4"/>
  <c r="F191" i="4"/>
  <c r="G246" i="4"/>
  <c r="G309" i="4"/>
  <c r="G376" i="4"/>
  <c r="E403" i="4"/>
  <c r="F468" i="4"/>
  <c r="E513" i="4"/>
  <c r="F624" i="4"/>
  <c r="F812" i="4"/>
  <c r="F867" i="4"/>
  <c r="F1023" i="4"/>
  <c r="G1097" i="4"/>
  <c r="F1147" i="4"/>
  <c r="G1184" i="4"/>
  <c r="E117" i="4"/>
  <c r="F228" i="4"/>
  <c r="F8" i="4"/>
  <c r="G90" i="4"/>
  <c r="I117" i="4"/>
  <c r="G218" i="4"/>
  <c r="F404" i="4"/>
  <c r="H568" i="4"/>
  <c r="I623" i="4"/>
  <c r="F968" i="4"/>
  <c r="E1041" i="4"/>
  <c r="E1096" i="4"/>
  <c r="G1246" i="4"/>
  <c r="G8" i="4"/>
  <c r="F63" i="4"/>
  <c r="G431" i="4"/>
  <c r="I458" i="4"/>
  <c r="H513" i="4"/>
  <c r="I568" i="4"/>
  <c r="G688" i="4"/>
  <c r="G715" i="4"/>
  <c r="G790" i="4"/>
  <c r="G941" i="4"/>
  <c r="F1069" i="4"/>
  <c r="F1120" i="4"/>
  <c r="F1237" i="4"/>
  <c r="F459" i="4"/>
  <c r="F495" i="4"/>
  <c r="G514" i="4"/>
  <c r="F651" i="4"/>
  <c r="F822" i="4"/>
  <c r="F858" i="4"/>
  <c r="G877" i="4"/>
  <c r="F1014" i="4"/>
  <c r="H1211" i="4"/>
  <c r="G459" i="4"/>
  <c r="G822" i="4"/>
  <c r="I1156" i="4"/>
  <c r="H3" i="4"/>
  <c r="F642" i="4"/>
  <c r="F26" i="4"/>
  <c r="H172" i="4"/>
  <c r="F182" i="4"/>
  <c r="F218" i="4"/>
  <c r="I227" i="4"/>
  <c r="F299" i="4"/>
  <c r="F431" i="4"/>
  <c r="F587" i="4"/>
  <c r="H733" i="4"/>
  <c r="F950" i="4"/>
  <c r="H1096" i="4"/>
  <c r="F1157" i="4"/>
  <c r="F1193" i="4"/>
  <c r="H282" i="4"/>
  <c r="F4" i="4"/>
  <c r="H117" i="4"/>
  <c r="F127" i="4"/>
  <c r="F163" i="4"/>
  <c r="I172" i="4"/>
  <c r="F283" i="4"/>
  <c r="H345" i="4"/>
  <c r="F376" i="4"/>
  <c r="F532" i="4"/>
  <c r="H678" i="4"/>
  <c r="F688" i="4"/>
  <c r="F724" i="4"/>
  <c r="F799" i="4"/>
  <c r="F895" i="4"/>
  <c r="H1041" i="4"/>
  <c r="F1051" i="4"/>
  <c r="F1087" i="4"/>
  <c r="I1096" i="4"/>
  <c r="F1138" i="4"/>
  <c r="H62" i="4"/>
  <c r="H623" i="4"/>
  <c r="F633" i="4"/>
  <c r="F669" i="4"/>
  <c r="H986" i="4"/>
  <c r="F422" i="4"/>
  <c r="F578" i="4"/>
  <c r="F734" i="4"/>
  <c r="F118" i="4"/>
  <c r="F154" i="4"/>
  <c r="F346" i="4"/>
  <c r="F367" i="4"/>
  <c r="F523" i="4"/>
  <c r="F559" i="4"/>
  <c r="F679" i="4"/>
  <c r="F715" i="4"/>
  <c r="F790" i="4"/>
  <c r="F886" i="4"/>
  <c r="F922" i="4"/>
  <c r="F1042" i="4"/>
  <c r="F1078" i="4"/>
  <c r="F1129" i="4"/>
  <c r="F1246" i="4"/>
  <c r="G568" i="4" l="1"/>
  <c r="F513" i="4"/>
  <c r="G458" i="4"/>
  <c r="G876" i="4"/>
  <c r="G7" i="4"/>
  <c r="F458" i="4"/>
  <c r="E6" i="4"/>
  <c r="E2" i="4" s="1"/>
  <c r="G227" i="4"/>
  <c r="G931" i="4"/>
  <c r="F876" i="4"/>
  <c r="F403" i="4"/>
  <c r="F1156" i="4"/>
  <c r="F568" i="4"/>
  <c r="G513" i="4"/>
  <c r="F7" i="4"/>
  <c r="F931" i="4"/>
  <c r="G403" i="4"/>
  <c r="H6" i="4"/>
  <c r="F821" i="4"/>
  <c r="I6" i="4"/>
  <c r="I2" i="4" s="1"/>
  <c r="F227" i="4"/>
  <c r="G3" i="4"/>
  <c r="F3" i="4"/>
  <c r="G733" i="4"/>
  <c r="F733" i="4"/>
  <c r="G1096" i="4"/>
  <c r="F1096" i="4"/>
  <c r="G345" i="4"/>
  <c r="F345" i="4"/>
  <c r="G1041" i="4"/>
  <c r="F1041" i="4"/>
  <c r="G117" i="4"/>
  <c r="F117" i="4"/>
  <c r="G623" i="4"/>
  <c r="F623" i="4"/>
  <c r="F1211" i="4"/>
  <c r="G1211" i="4"/>
  <c r="G62" i="4"/>
  <c r="F62" i="4"/>
  <c r="G986" i="4"/>
  <c r="F986" i="4"/>
  <c r="G282" i="4"/>
  <c r="F282" i="4"/>
  <c r="G1156" i="4"/>
  <c r="F172" i="4"/>
  <c r="G172" i="4"/>
  <c r="G678" i="4"/>
  <c r="F678" i="4"/>
  <c r="F6" i="4" l="1"/>
  <c r="G6" i="4"/>
  <c r="H2" i="4"/>
  <c r="G2" i="4" s="1"/>
  <c r="F2" i="4" l="1"/>
  <c r="S57" i="2"/>
  <c r="S58" i="2"/>
  <c r="S59" i="2"/>
  <c r="S287" i="2"/>
  <c r="S286" i="2"/>
  <c r="S285" i="2"/>
  <c r="S284" i="2"/>
  <c r="S283" i="2"/>
  <c r="S278" i="2"/>
  <c r="S279" i="2"/>
  <c r="S280" i="2"/>
  <c r="S281" i="2"/>
  <c r="S282" i="2"/>
  <c r="S277" i="2"/>
  <c r="S274" i="2"/>
  <c r="S271" i="2"/>
  <c r="S272" i="2"/>
  <c r="S273" i="2"/>
  <c r="S275" i="2"/>
  <c r="S266" i="2"/>
  <c r="S262" i="2"/>
  <c r="S263" i="2"/>
  <c r="S257" i="2"/>
  <c r="S258" i="2"/>
  <c r="S252" i="2"/>
  <c r="S245" i="2"/>
  <c r="S238" i="2"/>
  <c r="S250" i="2"/>
  <c r="S251" i="2"/>
  <c r="S243" i="2"/>
  <c r="S244" i="2"/>
  <c r="S236" i="2"/>
  <c r="S237" i="2"/>
  <c r="S230" i="2"/>
  <c r="S229" i="2"/>
  <c r="S223" i="2"/>
  <c r="S220" i="2"/>
  <c r="S221" i="2"/>
  <c r="S222" i="2"/>
  <c r="S224" i="2"/>
  <c r="B209" i="2"/>
  <c r="C209" i="2"/>
  <c r="S209" i="2"/>
  <c r="B23" i="2"/>
  <c r="C23" i="2"/>
  <c r="S23" i="2"/>
  <c r="S156" i="2"/>
  <c r="S157" i="2"/>
  <c r="S158" i="2"/>
  <c r="S151" i="2"/>
  <c r="S150" i="2"/>
  <c r="S133" i="2"/>
  <c r="S134" i="2"/>
  <c r="S135" i="2"/>
  <c r="S136" i="2"/>
  <c r="B125" i="2"/>
  <c r="S123" i="2"/>
  <c r="S124" i="2"/>
  <c r="S125" i="2"/>
  <c r="S126" i="2"/>
  <c r="S127" i="2"/>
  <c r="S128" i="2"/>
  <c r="S116" i="2"/>
  <c r="S117" i="2"/>
  <c r="S118" i="2"/>
  <c r="S110" i="2"/>
  <c r="S111" i="2"/>
  <c r="S112" i="2"/>
  <c r="S97" i="2"/>
  <c r="S98" i="2"/>
  <c r="S99" i="2"/>
  <c r="S100" i="2"/>
  <c r="S101" i="2"/>
  <c r="S83" i="2"/>
  <c r="S84" i="2"/>
  <c r="S85" i="2"/>
  <c r="S86" i="2"/>
  <c r="S77" i="2"/>
  <c r="S74" i="2"/>
  <c r="S75" i="2"/>
  <c r="S76" i="2"/>
  <c r="S78" i="2"/>
  <c r="S65" i="2"/>
  <c r="S66" i="2"/>
  <c r="S67" i="2"/>
  <c r="S68" i="2"/>
  <c r="S50" i="2"/>
  <c r="S51" i="2"/>
  <c r="S52" i="2"/>
  <c r="S53" i="2"/>
  <c r="S43" i="2"/>
  <c r="S44" i="2"/>
  <c r="S45" i="2"/>
  <c r="S34" i="2"/>
  <c r="S35" i="2"/>
  <c r="S36" i="2"/>
  <c r="S37" i="2"/>
  <c r="S38" i="2"/>
  <c r="B24" i="2"/>
  <c r="C24" i="2"/>
  <c r="S24" i="2"/>
  <c r="S17" i="2"/>
  <c r="S18" i="2"/>
  <c r="S15" i="2"/>
  <c r="S14" i="2"/>
  <c r="O6" i="2"/>
  <c r="O5" i="2"/>
  <c r="O4" i="2"/>
  <c r="S11" i="2"/>
  <c r="S12" i="2"/>
  <c r="S13" i="2"/>
  <c r="S16" i="2"/>
  <c r="S19" i="2"/>
  <c r="S20" i="2"/>
  <c r="S21" i="2"/>
  <c r="S22" i="2"/>
  <c r="S25" i="2"/>
  <c r="S26" i="2"/>
  <c r="S27" i="2"/>
  <c r="S28" i="2"/>
  <c r="S29" i="2"/>
  <c r="S30" i="2"/>
  <c r="S31" i="2"/>
  <c r="S32" i="2"/>
  <c r="S33" i="2"/>
  <c r="S39" i="2"/>
  <c r="S40" i="2"/>
  <c r="S41" i="2"/>
  <c r="S42" i="2"/>
  <c r="S46" i="2"/>
  <c r="S47" i="2"/>
  <c r="S48" i="2"/>
  <c r="S49" i="2"/>
  <c r="S54" i="2"/>
  <c r="S55" i="2"/>
  <c r="S56" i="2"/>
  <c r="S60" i="2"/>
  <c r="S61" i="2"/>
  <c r="S62" i="2"/>
  <c r="S63" i="2"/>
  <c r="S64" i="2"/>
  <c r="S69" i="2"/>
  <c r="S70" i="2"/>
  <c r="S71" i="2"/>
  <c r="S72" i="2"/>
  <c r="S73" i="2"/>
  <c r="S79" i="2"/>
  <c r="S80" i="2"/>
  <c r="S81" i="2"/>
  <c r="S82" i="2"/>
  <c r="S87" i="2"/>
  <c r="S88" i="2"/>
  <c r="S89" i="2"/>
  <c r="S90" i="2"/>
  <c r="S91" i="2"/>
  <c r="S92" i="2"/>
  <c r="S93" i="2"/>
  <c r="S94" i="2"/>
  <c r="S95" i="2"/>
  <c r="S96" i="2"/>
  <c r="S102" i="2"/>
  <c r="S103" i="2"/>
  <c r="S104" i="2"/>
  <c r="S105" i="2"/>
  <c r="S106" i="2"/>
  <c r="S107" i="2"/>
  <c r="S108" i="2"/>
  <c r="S109" i="2"/>
  <c r="S113" i="2"/>
  <c r="S114" i="2"/>
  <c r="S115" i="2"/>
  <c r="S119" i="2"/>
  <c r="S120" i="2"/>
  <c r="S121" i="2"/>
  <c r="S122" i="2"/>
  <c r="S129" i="2"/>
  <c r="S130" i="2"/>
  <c r="S131" i="2"/>
  <c r="S132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2" i="2"/>
  <c r="S153" i="2"/>
  <c r="S154" i="2"/>
  <c r="S155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10" i="2"/>
  <c r="S211" i="2"/>
  <c r="S212" i="2"/>
  <c r="S213" i="2"/>
  <c r="S214" i="2"/>
  <c r="S215" i="2"/>
  <c r="S216" i="2"/>
  <c r="S217" i="2"/>
  <c r="S218" i="2"/>
  <c r="S219" i="2"/>
  <c r="S225" i="2"/>
  <c r="S226" i="2"/>
  <c r="S227" i="2"/>
  <c r="S228" i="2"/>
  <c r="S231" i="2"/>
  <c r="S232" i="2"/>
  <c r="S233" i="2"/>
  <c r="S234" i="2"/>
  <c r="S235" i="2"/>
  <c r="S239" i="2"/>
  <c r="S240" i="2"/>
  <c r="S241" i="2"/>
  <c r="S242" i="2"/>
  <c r="S246" i="2"/>
  <c r="S247" i="2"/>
  <c r="S248" i="2"/>
  <c r="S249" i="2"/>
  <c r="S253" i="2"/>
  <c r="S254" i="2"/>
  <c r="S255" i="2"/>
  <c r="S256" i="2"/>
  <c r="S259" i="2"/>
  <c r="S260" i="2"/>
  <c r="S261" i="2"/>
  <c r="S264" i="2"/>
  <c r="S265" i="2"/>
  <c r="S267" i="2"/>
  <c r="S268" i="2"/>
  <c r="S269" i="2"/>
  <c r="S270" i="2"/>
  <c r="S276" i="2"/>
  <c r="C19" i="2"/>
  <c r="C20" i="2"/>
  <c r="C21" i="2"/>
  <c r="C22" i="2"/>
  <c r="C142" i="2"/>
  <c r="C165" i="2"/>
  <c r="C208" i="2"/>
  <c r="C241" i="2"/>
  <c r="C264" i="2"/>
  <c r="D53" i="3"/>
  <c r="B138" i="2" s="1"/>
  <c r="D10" i="3"/>
  <c r="B275" i="2" s="1"/>
  <c r="B19" i="2"/>
  <c r="B20" i="2"/>
  <c r="B21" i="2"/>
  <c r="B22" i="2"/>
  <c r="B27" i="2"/>
  <c r="B30" i="2"/>
  <c r="B48" i="2"/>
  <c r="B72" i="2"/>
  <c r="B93" i="2"/>
  <c r="B131" i="2"/>
  <c r="B142" i="2"/>
  <c r="B147" i="2"/>
  <c r="B165" i="2"/>
  <c r="B166" i="2"/>
  <c r="B176" i="2"/>
  <c r="B177" i="2"/>
  <c r="B178" i="2"/>
  <c r="B195" i="2"/>
  <c r="B202" i="2"/>
  <c r="B203" i="2"/>
  <c r="B207" i="2"/>
  <c r="B208" i="2"/>
  <c r="B232" i="2"/>
  <c r="B235" i="2"/>
  <c r="B242" i="2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B91" i="2" l="1"/>
  <c r="C262" i="2"/>
  <c r="B47" i="2"/>
  <c r="C183" i="2"/>
  <c r="C171" i="2"/>
  <c r="B253" i="2"/>
  <c r="C38" i="2"/>
  <c r="B92" i="2"/>
  <c r="B276" i="2"/>
  <c r="B190" i="2"/>
  <c r="C102" i="2"/>
  <c r="B264" i="2"/>
  <c r="B215" i="2"/>
  <c r="B189" i="2"/>
  <c r="B159" i="2"/>
  <c r="B109" i="2"/>
  <c r="B69" i="2"/>
  <c r="C81" i="2"/>
  <c r="C278" i="2"/>
  <c r="B225" i="2"/>
  <c r="C225" i="2"/>
  <c r="B164" i="2"/>
  <c r="C15" i="2"/>
  <c r="B256" i="2"/>
  <c r="B214" i="2"/>
  <c r="B188" i="2"/>
  <c r="B152" i="2"/>
  <c r="B108" i="2"/>
  <c r="B60" i="2"/>
  <c r="C207" i="2"/>
  <c r="C60" i="2"/>
  <c r="B191" i="2"/>
  <c r="B120" i="2"/>
  <c r="C120" i="2"/>
  <c r="C83" i="2"/>
  <c r="B216" i="2"/>
  <c r="B70" i="2"/>
  <c r="C219" i="2"/>
  <c r="B135" i="2"/>
  <c r="B255" i="2"/>
  <c r="B213" i="2"/>
  <c r="B183" i="2"/>
  <c r="B149" i="2"/>
  <c r="B107" i="2"/>
  <c r="B54" i="2"/>
  <c r="B12" i="2"/>
  <c r="C206" i="2"/>
  <c r="C39" i="2"/>
  <c r="B71" i="2"/>
  <c r="B270" i="2"/>
  <c r="B113" i="2"/>
  <c r="B35" i="2"/>
  <c r="B254" i="2"/>
  <c r="B179" i="2"/>
  <c r="B148" i="2"/>
  <c r="B102" i="2"/>
  <c r="B49" i="2"/>
  <c r="B11" i="2"/>
  <c r="C195" i="2"/>
  <c r="C194" i="2"/>
  <c r="B99" i="2"/>
  <c r="B222" i="2"/>
  <c r="C252" i="2"/>
  <c r="C274" i="2"/>
  <c r="C74" i="2"/>
  <c r="C286" i="2"/>
  <c r="B234" i="2"/>
  <c r="B171" i="2"/>
  <c r="C261" i="2"/>
  <c r="C282" i="2"/>
  <c r="B201" i="2"/>
  <c r="B137" i="2"/>
  <c r="B90" i="2"/>
  <c r="B29" i="2"/>
  <c r="B233" i="2"/>
  <c r="B200" i="2"/>
  <c r="B167" i="2"/>
  <c r="B132" i="2"/>
  <c r="B81" i="2"/>
  <c r="B28" i="2"/>
  <c r="C242" i="2"/>
  <c r="C159" i="2"/>
  <c r="C68" i="2"/>
  <c r="C110" i="2"/>
  <c r="C182" i="2"/>
  <c r="C170" i="2"/>
  <c r="C155" i="2"/>
  <c r="C141" i="2"/>
  <c r="C119" i="2"/>
  <c r="C96" i="2"/>
  <c r="C80" i="2"/>
  <c r="C57" i="2"/>
  <c r="C33" i="2"/>
  <c r="B15" i="2"/>
  <c r="B38" i="2"/>
  <c r="B34" i="2"/>
  <c r="B68" i="2"/>
  <c r="B74" i="2"/>
  <c r="B83" i="2"/>
  <c r="C98" i="2"/>
  <c r="B110" i="2"/>
  <c r="C124" i="2"/>
  <c r="C134" i="2"/>
  <c r="C221" i="2"/>
  <c r="C237" i="2"/>
  <c r="C251" i="2"/>
  <c r="B252" i="2"/>
  <c r="B262" i="2"/>
  <c r="B274" i="2"/>
  <c r="B282" i="2"/>
  <c r="B278" i="2"/>
  <c r="B286" i="2"/>
  <c r="B10" i="2"/>
  <c r="C260" i="2"/>
  <c r="C240" i="2"/>
  <c r="C218" i="2"/>
  <c r="C205" i="2"/>
  <c r="C193" i="2"/>
  <c r="C181" i="2"/>
  <c r="C169" i="2"/>
  <c r="C154" i="2"/>
  <c r="C140" i="2"/>
  <c r="C115" i="2"/>
  <c r="C95" i="2"/>
  <c r="C79" i="2"/>
  <c r="C56" i="2"/>
  <c r="C32" i="2"/>
  <c r="C16" i="2"/>
  <c r="B98" i="2"/>
  <c r="B124" i="2"/>
  <c r="B134" i="2"/>
  <c r="C158" i="2"/>
  <c r="B221" i="2"/>
  <c r="B237" i="2"/>
  <c r="B251" i="2"/>
  <c r="C273" i="2"/>
  <c r="C259" i="2"/>
  <c r="C239" i="2"/>
  <c r="C217" i="2"/>
  <c r="C204" i="2"/>
  <c r="C192" i="2"/>
  <c r="C180" i="2"/>
  <c r="C168" i="2"/>
  <c r="C153" i="2"/>
  <c r="C139" i="2"/>
  <c r="C114" i="2"/>
  <c r="C94" i="2"/>
  <c r="C73" i="2"/>
  <c r="C55" i="2"/>
  <c r="C31" i="2"/>
  <c r="C13" i="2"/>
  <c r="C45" i="2"/>
  <c r="C53" i="2"/>
  <c r="C67" i="2"/>
  <c r="C97" i="2"/>
  <c r="C123" i="2"/>
  <c r="C133" i="2"/>
  <c r="B158" i="2"/>
  <c r="C220" i="2"/>
  <c r="C236" i="2"/>
  <c r="C250" i="2"/>
  <c r="C266" i="2"/>
  <c r="B273" i="2"/>
  <c r="C281" i="2"/>
  <c r="C283" i="2"/>
  <c r="C287" i="2"/>
  <c r="B269" i="2"/>
  <c r="B249" i="2"/>
  <c r="B231" i="2"/>
  <c r="B212" i="2"/>
  <c r="B199" i="2"/>
  <c r="B187" i="2"/>
  <c r="B175" i="2"/>
  <c r="B163" i="2"/>
  <c r="B146" i="2"/>
  <c r="B130" i="2"/>
  <c r="B106" i="2"/>
  <c r="B89" i="2"/>
  <c r="B64" i="2"/>
  <c r="B46" i="2"/>
  <c r="B26" i="2"/>
  <c r="C256" i="2"/>
  <c r="C235" i="2"/>
  <c r="C216" i="2"/>
  <c r="C203" i="2"/>
  <c r="C191" i="2"/>
  <c r="C179" i="2"/>
  <c r="C167" i="2"/>
  <c r="C152" i="2"/>
  <c r="C138" i="2"/>
  <c r="C113" i="2"/>
  <c r="C93" i="2"/>
  <c r="C72" i="2"/>
  <c r="C54" i="2"/>
  <c r="C30" i="2"/>
  <c r="C12" i="2"/>
  <c r="C18" i="2"/>
  <c r="C37" i="2"/>
  <c r="B45" i="2"/>
  <c r="B53" i="2"/>
  <c r="B67" i="2"/>
  <c r="C78" i="2"/>
  <c r="B97" i="2"/>
  <c r="B123" i="2"/>
  <c r="B133" i="2"/>
  <c r="C157" i="2"/>
  <c r="B220" i="2"/>
  <c r="B236" i="2"/>
  <c r="B250" i="2"/>
  <c r="C258" i="2"/>
  <c r="B266" i="2"/>
  <c r="C272" i="2"/>
  <c r="B281" i="2"/>
  <c r="B283" i="2"/>
  <c r="B287" i="2"/>
  <c r="B268" i="2"/>
  <c r="B248" i="2"/>
  <c r="B228" i="2"/>
  <c r="B211" i="2"/>
  <c r="B198" i="2"/>
  <c r="B186" i="2"/>
  <c r="B174" i="2"/>
  <c r="B162" i="2"/>
  <c r="B145" i="2"/>
  <c r="B129" i="2"/>
  <c r="B105" i="2"/>
  <c r="B88" i="2"/>
  <c r="B63" i="2"/>
  <c r="B42" i="2"/>
  <c r="B25" i="2"/>
  <c r="C10" i="2"/>
  <c r="C255" i="2"/>
  <c r="C234" i="2"/>
  <c r="C215" i="2"/>
  <c r="C202" i="2"/>
  <c r="C190" i="2"/>
  <c r="C178" i="2"/>
  <c r="C166" i="2"/>
  <c r="C149" i="2"/>
  <c r="C137" i="2"/>
  <c r="C109" i="2"/>
  <c r="C92" i="2"/>
  <c r="C71" i="2"/>
  <c r="C49" i="2"/>
  <c r="C29" i="2"/>
  <c r="C11" i="2"/>
  <c r="B18" i="2"/>
  <c r="C36" i="2"/>
  <c r="C52" i="2"/>
  <c r="B78" i="2"/>
  <c r="C118" i="2"/>
  <c r="C128" i="2"/>
  <c r="B157" i="2"/>
  <c r="B258" i="2"/>
  <c r="B272" i="2"/>
  <c r="B267" i="2"/>
  <c r="B247" i="2"/>
  <c r="B227" i="2"/>
  <c r="B210" i="2"/>
  <c r="B197" i="2"/>
  <c r="B185" i="2"/>
  <c r="B173" i="2"/>
  <c r="B161" i="2"/>
  <c r="B144" i="2"/>
  <c r="B122" i="2"/>
  <c r="B104" i="2"/>
  <c r="B87" i="2"/>
  <c r="B62" i="2"/>
  <c r="B41" i="2"/>
  <c r="C276" i="2"/>
  <c r="C254" i="2"/>
  <c r="C233" i="2"/>
  <c r="C214" i="2"/>
  <c r="C201" i="2"/>
  <c r="C189" i="2"/>
  <c r="C177" i="2"/>
  <c r="C148" i="2"/>
  <c r="C132" i="2"/>
  <c r="C108" i="2"/>
  <c r="C91" i="2"/>
  <c r="C70" i="2"/>
  <c r="C48" i="2"/>
  <c r="C28" i="2"/>
  <c r="C17" i="2"/>
  <c r="B37" i="2"/>
  <c r="B52" i="2"/>
  <c r="C77" i="2"/>
  <c r="C86" i="2"/>
  <c r="B118" i="2"/>
  <c r="B128" i="2"/>
  <c r="C156" i="2"/>
  <c r="C229" i="2"/>
  <c r="C238" i="2"/>
  <c r="C257" i="2"/>
  <c r="C271" i="2"/>
  <c r="C280" i="2"/>
  <c r="C284" i="2"/>
  <c r="C59" i="2"/>
  <c r="B265" i="2"/>
  <c r="B246" i="2"/>
  <c r="B226" i="2"/>
  <c r="B196" i="2"/>
  <c r="B184" i="2"/>
  <c r="B172" i="2"/>
  <c r="B160" i="2"/>
  <c r="B143" i="2"/>
  <c r="B121" i="2"/>
  <c r="B103" i="2"/>
  <c r="B82" i="2"/>
  <c r="B61" i="2"/>
  <c r="B40" i="2"/>
  <c r="C270" i="2"/>
  <c r="C253" i="2"/>
  <c r="C232" i="2"/>
  <c r="C213" i="2"/>
  <c r="C200" i="2"/>
  <c r="C188" i="2"/>
  <c r="C176" i="2"/>
  <c r="C164" i="2"/>
  <c r="C147" i="2"/>
  <c r="C131" i="2"/>
  <c r="C107" i="2"/>
  <c r="C90" i="2"/>
  <c r="C69" i="2"/>
  <c r="C47" i="2"/>
  <c r="C27" i="2"/>
  <c r="B17" i="2"/>
  <c r="B36" i="2"/>
  <c r="C44" i="2"/>
  <c r="C51" i="2"/>
  <c r="C66" i="2"/>
  <c r="B77" i="2"/>
  <c r="B86" i="2"/>
  <c r="C101" i="2"/>
  <c r="C117" i="2"/>
  <c r="C127" i="2"/>
  <c r="C151" i="2"/>
  <c r="B156" i="2"/>
  <c r="C224" i="2"/>
  <c r="B229" i="2"/>
  <c r="C244" i="2"/>
  <c r="B238" i="2"/>
  <c r="B257" i="2"/>
  <c r="B271" i="2"/>
  <c r="B280" i="2"/>
  <c r="B284" i="2"/>
  <c r="B59" i="2"/>
  <c r="B39" i="2"/>
  <c r="C269" i="2"/>
  <c r="C249" i="2"/>
  <c r="C231" i="2"/>
  <c r="C212" i="2"/>
  <c r="C199" i="2"/>
  <c r="C187" i="2"/>
  <c r="C175" i="2"/>
  <c r="C163" i="2"/>
  <c r="C146" i="2"/>
  <c r="C130" i="2"/>
  <c r="C106" i="2"/>
  <c r="C89" i="2"/>
  <c r="C64" i="2"/>
  <c r="C46" i="2"/>
  <c r="C26" i="2"/>
  <c r="C43" i="2"/>
  <c r="B51" i="2"/>
  <c r="C65" i="2"/>
  <c r="C76" i="2"/>
  <c r="C85" i="2"/>
  <c r="B101" i="2"/>
  <c r="C112" i="2"/>
  <c r="B117" i="2"/>
  <c r="B127" i="2"/>
  <c r="B151" i="2"/>
  <c r="B224" i="2"/>
  <c r="B244" i="2"/>
  <c r="B261" i="2"/>
  <c r="B241" i="2"/>
  <c r="B219" i="2"/>
  <c r="B206" i="2"/>
  <c r="B194" i="2"/>
  <c r="B182" i="2"/>
  <c r="B170" i="2"/>
  <c r="B155" i="2"/>
  <c r="B141" i="2"/>
  <c r="B119" i="2"/>
  <c r="B96" i="2"/>
  <c r="B80" i="2"/>
  <c r="B57" i="2"/>
  <c r="B33" i="2"/>
  <c r="C268" i="2"/>
  <c r="C248" i="2"/>
  <c r="C228" i="2"/>
  <c r="C211" i="2"/>
  <c r="C198" i="2"/>
  <c r="C186" i="2"/>
  <c r="C174" i="2"/>
  <c r="C162" i="2"/>
  <c r="C145" i="2"/>
  <c r="C129" i="2"/>
  <c r="C105" i="2"/>
  <c r="C88" i="2"/>
  <c r="C63" i="2"/>
  <c r="C42" i="2"/>
  <c r="C25" i="2"/>
  <c r="C14" i="2"/>
  <c r="B44" i="2"/>
  <c r="C50" i="2"/>
  <c r="B66" i="2"/>
  <c r="B76" i="2"/>
  <c r="B85" i="2"/>
  <c r="C100" i="2"/>
  <c r="B112" i="2"/>
  <c r="C116" i="2"/>
  <c r="C126" i="2"/>
  <c r="C136" i="2"/>
  <c r="C150" i="2"/>
  <c r="C223" i="2"/>
  <c r="C230" i="2"/>
  <c r="C243" i="2"/>
  <c r="C245" i="2"/>
  <c r="C277" i="2"/>
  <c r="C279" i="2"/>
  <c r="C285" i="2"/>
  <c r="C58" i="2"/>
  <c r="B260" i="2"/>
  <c r="B240" i="2"/>
  <c r="B218" i="2"/>
  <c r="B205" i="2"/>
  <c r="B193" i="2"/>
  <c r="B181" i="2"/>
  <c r="B169" i="2"/>
  <c r="B154" i="2"/>
  <c r="B140" i="2"/>
  <c r="B115" i="2"/>
  <c r="B95" i="2"/>
  <c r="B79" i="2"/>
  <c r="B56" i="2"/>
  <c r="B32" i="2"/>
  <c r="B16" i="2"/>
  <c r="C267" i="2"/>
  <c r="C247" i="2"/>
  <c r="C227" i="2"/>
  <c r="C210" i="2"/>
  <c r="C197" i="2"/>
  <c r="C185" i="2"/>
  <c r="C173" i="2"/>
  <c r="C161" i="2"/>
  <c r="C144" i="2"/>
  <c r="C122" i="2"/>
  <c r="C104" i="2"/>
  <c r="C87" i="2"/>
  <c r="C62" i="2"/>
  <c r="C41" i="2"/>
  <c r="B14" i="2"/>
  <c r="C35" i="2"/>
  <c r="B43" i="2"/>
  <c r="B50" i="2"/>
  <c r="B65" i="2"/>
  <c r="C75" i="2"/>
  <c r="C84" i="2"/>
  <c r="B100" i="2"/>
  <c r="C111" i="2"/>
  <c r="B116" i="2"/>
  <c r="B126" i="2"/>
  <c r="B136" i="2"/>
  <c r="B150" i="2"/>
  <c r="B223" i="2"/>
  <c r="B230" i="2"/>
  <c r="B243" i="2"/>
  <c r="B245" i="2"/>
  <c r="C263" i="2"/>
  <c r="C275" i="2"/>
  <c r="B277" i="2"/>
  <c r="B279" i="2"/>
  <c r="B285" i="2"/>
  <c r="B58" i="2"/>
  <c r="B259" i="2"/>
  <c r="B239" i="2"/>
  <c r="B217" i="2"/>
  <c r="B204" i="2"/>
  <c r="B192" i="2"/>
  <c r="B180" i="2"/>
  <c r="B168" i="2"/>
  <c r="B153" i="2"/>
  <c r="B139" i="2"/>
  <c r="B114" i="2"/>
  <c r="B94" i="2"/>
  <c r="B73" i="2"/>
  <c r="B55" i="2"/>
  <c r="B31" i="2"/>
  <c r="B13" i="2"/>
  <c r="C265" i="2"/>
  <c r="C246" i="2"/>
  <c r="C226" i="2"/>
  <c r="C196" i="2"/>
  <c r="C184" i="2"/>
  <c r="C172" i="2"/>
  <c r="C160" i="2"/>
  <c r="C143" i="2"/>
  <c r="C121" i="2"/>
  <c r="C103" i="2"/>
  <c r="C82" i="2"/>
  <c r="C61" i="2"/>
  <c r="C40" i="2"/>
  <c r="C34" i="2"/>
  <c r="B75" i="2"/>
  <c r="B84" i="2"/>
  <c r="C99" i="2"/>
  <c r="B111" i="2"/>
  <c r="C125" i="2"/>
  <c r="C135" i="2"/>
  <c r="C222" i="2"/>
  <c r="B263" i="2"/>
  <c r="O3" i="2"/>
  <c r="O7" i="2" s="1"/>
  <c r="O2" i="2" l="1" a="1"/>
  <c r="O2" i="2" s="1"/>
  <c r="S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<sst xmlns="http://schemas.openxmlformats.org/spreadsheetml/2006/main" count="4636" uniqueCount="1704">
  <si>
    <t>Pátio de Cinzas</t>
  </si>
  <si>
    <t>Fertirrigação</t>
  </si>
  <si>
    <t>Elevatórias</t>
  </si>
  <si>
    <t>Caldeira</t>
  </si>
  <si>
    <t>ETE</t>
  </si>
  <si>
    <t>Pavimentação</t>
  </si>
  <si>
    <t>Não iniciado</t>
  </si>
  <si>
    <t>Em andamento</t>
  </si>
  <si>
    <t>Concluído</t>
  </si>
  <si>
    <t>Moinho</t>
  </si>
  <si>
    <t>Almoxarifado</t>
  </si>
  <si>
    <t>Tombador</t>
  </si>
  <si>
    <t>Armazém de DDGS</t>
  </si>
  <si>
    <t>Oficina</t>
  </si>
  <si>
    <t>Tanques de Óleo</t>
  </si>
  <si>
    <t>Tanques de Etanol</t>
  </si>
  <si>
    <t>Expedição de Etanol</t>
  </si>
  <si>
    <t>Subestação</t>
  </si>
  <si>
    <t>Tanques de Medição</t>
  </si>
  <si>
    <t>Dissipador</t>
  </si>
  <si>
    <t>Torre de Resfriamento</t>
  </si>
  <si>
    <t>Bacia de contenção</t>
  </si>
  <si>
    <t>Disciplina</t>
  </si>
  <si>
    <t>Tanques de Químicos</t>
  </si>
  <si>
    <t>Replan</t>
  </si>
  <si>
    <t>Prazo p/ vistoria</t>
  </si>
  <si>
    <t>Situação</t>
  </si>
  <si>
    <t>Canaletas</t>
  </si>
  <si>
    <t>1.1</t>
  </si>
  <si>
    <t>1.2</t>
  </si>
  <si>
    <t>Bacia Pluvial</t>
  </si>
  <si>
    <t>Caixa d'água</t>
  </si>
  <si>
    <t>Casa de Força</t>
  </si>
  <si>
    <t>Taludes sem erosão</t>
  </si>
  <si>
    <t>Abrigo para químicos</t>
  </si>
  <si>
    <t>Bomba dosadora</t>
  </si>
  <si>
    <t>Base para a bomba</t>
  </si>
  <si>
    <t>Central de Resíduos</t>
  </si>
  <si>
    <t>Cozimento</t>
  </si>
  <si>
    <t>Destilaria</t>
  </si>
  <si>
    <t>Dorna Volante</t>
  </si>
  <si>
    <t>ETA (Osmose)</t>
  </si>
  <si>
    <t>Fase</t>
  </si>
  <si>
    <t>Ambas</t>
  </si>
  <si>
    <t>Fermentação</t>
  </si>
  <si>
    <t>Pátio de Biomassa (Stacker)</t>
  </si>
  <si>
    <t>Sala dos Compressores</t>
  </si>
  <si>
    <t>Posto de Combustível</t>
  </si>
  <si>
    <t>Secador de DDGS</t>
  </si>
  <si>
    <t>Drenagem</t>
  </si>
  <si>
    <t>Vinhaça Fina</t>
  </si>
  <si>
    <t>Vinhaça Grossa</t>
  </si>
  <si>
    <t>Poço 01 - Estrutura</t>
  </si>
  <si>
    <t>Poço 02 - Estrutura</t>
  </si>
  <si>
    <t>Poço 03 - Estrutura</t>
  </si>
  <si>
    <t>Poço 04 - Estrutura</t>
  </si>
  <si>
    <t>Poço 05 - Estrutura</t>
  </si>
  <si>
    <t>Poço 06 - Estrutura</t>
  </si>
  <si>
    <t>Armazém de Milho</t>
  </si>
  <si>
    <t>Base das bombas</t>
  </si>
  <si>
    <t>Linha de escorva</t>
  </si>
  <si>
    <t>Medidor de nível</t>
  </si>
  <si>
    <t>Ligação via COI</t>
  </si>
  <si>
    <t>Fábrica de Óleo</t>
  </si>
  <si>
    <t>Infra civil</t>
  </si>
  <si>
    <t>Infra metálica (tubulações)</t>
  </si>
  <si>
    <t>Base dos canhões</t>
  </si>
  <si>
    <t>Canhão finalizado</t>
  </si>
  <si>
    <t>Rede de drenagem</t>
  </si>
  <si>
    <t>Cobertura</t>
  </si>
  <si>
    <t>Taludes</t>
  </si>
  <si>
    <t>Rampa para carregamento</t>
  </si>
  <si>
    <t>Concretagem dos caminhos, ruas, fluxos de caminhões</t>
  </si>
  <si>
    <t>Hidrômetro</t>
  </si>
  <si>
    <t>Horímetro</t>
  </si>
  <si>
    <t>Base da bomba (pelo menos 1x1m)</t>
  </si>
  <si>
    <t>Piso impermeabilizado</t>
  </si>
  <si>
    <t>Saída de coleta</t>
  </si>
  <si>
    <t>Tubo guia</t>
  </si>
  <si>
    <t>Cercamento com portão</t>
  </si>
  <si>
    <t>Observação</t>
  </si>
  <si>
    <t>CONTEÚDO DO DOC.:</t>
  </si>
  <si>
    <t>NOME DO DOC.:</t>
  </si>
  <si>
    <t>ÚLTIMA ATUALIZAÇÃO:</t>
  </si>
  <si>
    <t>1 e 2</t>
  </si>
  <si>
    <t>SISTEMAS DE CONTROLE AMBIENTAL</t>
  </si>
  <si>
    <t>UNIDADE:</t>
  </si>
  <si>
    <t>FASE(S):</t>
  </si>
  <si>
    <t>RESUMO GERAL</t>
  </si>
  <si>
    <t>Alerta</t>
  </si>
  <si>
    <t>RESPONSÁVEL DA UND:</t>
  </si>
  <si>
    <t>Ilha de processo</t>
  </si>
  <si>
    <t>CÓDIGO</t>
  </si>
  <si>
    <t>DESCRIÇÃO</t>
  </si>
  <si>
    <t>CÓDIGO + DESCRIÇÃO</t>
  </si>
  <si>
    <t>Geral</t>
  </si>
  <si>
    <t>Pipe Rack</t>
  </si>
  <si>
    <t>21.</t>
  </si>
  <si>
    <t>Terraplenagem</t>
  </si>
  <si>
    <t>2100.</t>
  </si>
  <si>
    <t>2100.A</t>
  </si>
  <si>
    <t>2100.B</t>
  </si>
  <si>
    <t>Terraplenagem (Camada Vegetal, Tratamento de Sub-Leito, Compactação de Aterro)</t>
  </si>
  <si>
    <t>Etanol</t>
  </si>
  <si>
    <t>Moinho de Grãos</t>
  </si>
  <si>
    <t>2100.C</t>
  </si>
  <si>
    <t>Drenagem (Boca de Lobo, Poço de Visita, Caixa de Coleta, Tubo, Meio Fio)</t>
  </si>
  <si>
    <t>2100.D</t>
  </si>
  <si>
    <t>Pavimentação (Cascalho, Tratamento de Sub-Base e Base, Imprimação, CBUQ)</t>
  </si>
  <si>
    <t>2100.E</t>
  </si>
  <si>
    <t>Hangar (Aeroporto)</t>
  </si>
  <si>
    <t>2100.H</t>
  </si>
  <si>
    <t>Reservatório de Detenção de Água Pluvial (Dissipador)</t>
  </si>
  <si>
    <t>Armazenamento e Expedição de Etanol</t>
  </si>
  <si>
    <t>2100.I</t>
  </si>
  <si>
    <t>Trevo de Acesso</t>
  </si>
  <si>
    <t>DDGSeÓleo</t>
  </si>
  <si>
    <t>Separação de Sólidos e Secagem de DDGS</t>
  </si>
  <si>
    <t>21B.</t>
  </si>
  <si>
    <t>Sistema de Evaporação de Vinhaça</t>
  </si>
  <si>
    <t>2111.</t>
  </si>
  <si>
    <t>2102.</t>
  </si>
  <si>
    <t>2102.A</t>
  </si>
  <si>
    <t>Mash Milling</t>
  </si>
  <si>
    <t>2102.B</t>
  </si>
  <si>
    <t>Liquefação</t>
  </si>
  <si>
    <t>Utilidades</t>
  </si>
  <si>
    <t>Biomassa</t>
  </si>
  <si>
    <t>2102.C</t>
  </si>
  <si>
    <t>Dióxido de Cloro</t>
  </si>
  <si>
    <t>Geração de Vapor</t>
  </si>
  <si>
    <t>2102.D</t>
  </si>
  <si>
    <t>Selective Grind Technology (SGT)</t>
  </si>
  <si>
    <t>Geração de Energia</t>
  </si>
  <si>
    <t>2102.E</t>
  </si>
  <si>
    <t>Clean In Place (CIP)</t>
  </si>
  <si>
    <t>Sistema de Geração de Ar Comprimido</t>
  </si>
  <si>
    <t>2106.</t>
  </si>
  <si>
    <t>Estação de Tratamento de Água (ETA)</t>
  </si>
  <si>
    <t>2106.A</t>
  </si>
  <si>
    <t>Propagação do Fermento</t>
  </si>
  <si>
    <t>Sistema de Refrigeração de Água</t>
  </si>
  <si>
    <t>2106.B</t>
  </si>
  <si>
    <t>Dornas de Fermentação</t>
  </si>
  <si>
    <t>Sistema de Combate a Incêndio</t>
  </si>
  <si>
    <t>2106.C</t>
  </si>
  <si>
    <t>Recuperação de CO₂</t>
  </si>
  <si>
    <t>Sistema de Selagem</t>
  </si>
  <si>
    <t>2106.D</t>
  </si>
  <si>
    <t>Químicos</t>
  </si>
  <si>
    <t>Grãos</t>
  </si>
  <si>
    <t>Recebimento de Grãos</t>
  </si>
  <si>
    <t>2106.E</t>
  </si>
  <si>
    <t>Enzimas</t>
  </si>
  <si>
    <t>Descarregamento e Armazenamento de Grãos</t>
  </si>
  <si>
    <t>2108.</t>
  </si>
  <si>
    <t>Administração</t>
  </si>
  <si>
    <t>Portaria</t>
  </si>
  <si>
    <t>2108.A</t>
  </si>
  <si>
    <t>Vestiário</t>
  </si>
  <si>
    <t>2108.B</t>
  </si>
  <si>
    <t>Destilaria de Etanol Hidratado</t>
  </si>
  <si>
    <t>Refeitório</t>
  </si>
  <si>
    <t>2108.C</t>
  </si>
  <si>
    <t>Destilaria de Etanol Anidro</t>
  </si>
  <si>
    <t>Recursos Humanos</t>
  </si>
  <si>
    <t>2127.</t>
  </si>
  <si>
    <t>Monitoramento</t>
  </si>
  <si>
    <t>2127.A</t>
  </si>
  <si>
    <t>Armazenamento de Etanol</t>
  </si>
  <si>
    <t>Guarita</t>
  </si>
  <si>
    <t>2127.B</t>
  </si>
  <si>
    <t>2127.C</t>
  </si>
  <si>
    <t>Conveniência</t>
  </si>
  <si>
    <t>21C.</t>
  </si>
  <si>
    <t>DDGS e Óleo</t>
  </si>
  <si>
    <t>Restaurante</t>
  </si>
  <si>
    <t>2109.</t>
  </si>
  <si>
    <t>Segurança do Trabalho</t>
  </si>
  <si>
    <t>2109.A</t>
  </si>
  <si>
    <t>Centrifugação de Vinhaça (Decanter)</t>
  </si>
  <si>
    <t>Meio Ambiente</t>
  </si>
  <si>
    <t>2109.B</t>
  </si>
  <si>
    <t>Saúde Ocupacional (SMS)</t>
  </si>
  <si>
    <t>2109.C</t>
  </si>
  <si>
    <t>Armazenamento e Expedição de DDGS</t>
  </si>
  <si>
    <t>Pátio</t>
  </si>
  <si>
    <t>2109.D</t>
  </si>
  <si>
    <t>Refrigeração do DDGS</t>
  </si>
  <si>
    <t>Arredores</t>
  </si>
  <si>
    <t>2109.E</t>
  </si>
  <si>
    <t>Sistema de Vinhaça Grossa e Xarope</t>
  </si>
  <si>
    <t>Estacionamento e Sinalização Viária</t>
  </si>
  <si>
    <t>2117.</t>
  </si>
  <si>
    <t>2117.A</t>
  </si>
  <si>
    <t>Evaporadores</t>
  </si>
  <si>
    <t>Depósito de Produtos Químicos</t>
  </si>
  <si>
    <t>2117.B</t>
  </si>
  <si>
    <t>Armazenamento de Vinhaça Fina</t>
  </si>
  <si>
    <t>Oficina de Lubrificação</t>
  </si>
  <si>
    <t>2120.</t>
  </si>
  <si>
    <t>Manutenção Industrial (Oficina Mecânica)</t>
  </si>
  <si>
    <t>2120.A</t>
  </si>
  <si>
    <t>Extração de Óleo (Tricanter)</t>
  </si>
  <si>
    <t>Escritório Administrativo</t>
  </si>
  <si>
    <t>2120.B</t>
  </si>
  <si>
    <t>Armazenamento de Óleo</t>
  </si>
  <si>
    <t>Laboratórios</t>
  </si>
  <si>
    <t>Laboratório de matéria-prima, processo e produto final</t>
  </si>
  <si>
    <t>2120.C</t>
  </si>
  <si>
    <t>Expedição de Óleo</t>
  </si>
  <si>
    <t>Centro de Operação Integrado (COI)</t>
  </si>
  <si>
    <t>21D.</t>
  </si>
  <si>
    <t>Efluentes</t>
  </si>
  <si>
    <t>2131.</t>
  </si>
  <si>
    <t>2131.A</t>
  </si>
  <si>
    <t>Armazenamento de Biomassa</t>
  </si>
  <si>
    <t>2131.B</t>
  </si>
  <si>
    <t>Sistema de Alimentação</t>
  </si>
  <si>
    <t>2101.</t>
  </si>
  <si>
    <t>2101.A</t>
  </si>
  <si>
    <t>2101.B</t>
  </si>
  <si>
    <t>Armazenamento de Água Desmineralizada</t>
  </si>
  <si>
    <t>2101.C</t>
  </si>
  <si>
    <t>2101.D</t>
  </si>
  <si>
    <t>Caldeira de Cinzas</t>
  </si>
  <si>
    <t>2104.</t>
  </si>
  <si>
    <t>2104.A</t>
  </si>
  <si>
    <t>2104.B</t>
  </si>
  <si>
    <t>Subestação e Distribuição de Energia</t>
  </si>
  <si>
    <t>2121.</t>
  </si>
  <si>
    <t>2121.A</t>
  </si>
  <si>
    <t>Geração e Distribuição de Ar Comprimido</t>
  </si>
  <si>
    <t>2110.</t>
  </si>
  <si>
    <t>2110.A</t>
  </si>
  <si>
    <t>Poços Artesianos</t>
  </si>
  <si>
    <t>2110.B</t>
  </si>
  <si>
    <t>Osmose</t>
  </si>
  <si>
    <t>2110.C</t>
  </si>
  <si>
    <t>Armazenamento de Água Bruta</t>
  </si>
  <si>
    <t>2110.D</t>
  </si>
  <si>
    <t>Água Potável</t>
  </si>
  <si>
    <t>2114.</t>
  </si>
  <si>
    <t>2114.A</t>
  </si>
  <si>
    <t>Torres de Resfriamento de Água</t>
  </si>
  <si>
    <t>2114.B</t>
  </si>
  <si>
    <t>Chillers</t>
  </si>
  <si>
    <t>2116.</t>
  </si>
  <si>
    <t>2112.</t>
  </si>
  <si>
    <t>21E.</t>
  </si>
  <si>
    <t>2115.</t>
  </si>
  <si>
    <t>2115.A</t>
  </si>
  <si>
    <t>Classificação</t>
  </si>
  <si>
    <t>2115.B</t>
  </si>
  <si>
    <t>2115.C</t>
  </si>
  <si>
    <t>Faturamento</t>
  </si>
  <si>
    <t>2119.</t>
  </si>
  <si>
    <t>2119.A</t>
  </si>
  <si>
    <t>Tombador, Casa de Máquinas, Pré-Limpeza, Moega e Elevador</t>
  </si>
  <si>
    <t>2119.B</t>
  </si>
  <si>
    <t>Armazenamento de Grãos</t>
  </si>
  <si>
    <t>2119.C</t>
  </si>
  <si>
    <t>Secagem de Grãos</t>
  </si>
  <si>
    <t>21F.</t>
  </si>
  <si>
    <t>2123.</t>
  </si>
  <si>
    <t>2123.A</t>
  </si>
  <si>
    <t>Portaria, Vestiário, Refeitório, Recursos Humanos e Monitoramento</t>
  </si>
  <si>
    <t>2123.B</t>
  </si>
  <si>
    <t>Guarita de Controle de Acesso</t>
  </si>
  <si>
    <t>2123.C</t>
  </si>
  <si>
    <t>Posto de Combustível, Conveniência e Restaurante</t>
  </si>
  <si>
    <t>2123.D</t>
  </si>
  <si>
    <t>Segurança do Trabalho, Meio Ambiente e Saúde Ocupacional (SMS)</t>
  </si>
  <si>
    <t>2123.E</t>
  </si>
  <si>
    <t>Pátio, Arredores, Estacionamento e Sinalização Viária</t>
  </si>
  <si>
    <t>2123.F</t>
  </si>
  <si>
    <t>2123.G</t>
  </si>
  <si>
    <t>2123.H</t>
  </si>
  <si>
    <t>2123.I</t>
  </si>
  <si>
    <t>21H.</t>
  </si>
  <si>
    <t>2126.</t>
  </si>
  <si>
    <t>2126.A</t>
  </si>
  <si>
    <t>Laboratório – Matéria-Prima, Processo e Produto Final</t>
  </si>
  <si>
    <t>2126.B</t>
  </si>
  <si>
    <t>21I.</t>
  </si>
  <si>
    <t>2103.</t>
  </si>
  <si>
    <t>Estação de Tratamento de Efluentes (ETE)</t>
  </si>
  <si>
    <t>2103.A</t>
  </si>
  <si>
    <t>Rede de Esgoto e do Resíduo do Processo Industrial</t>
  </si>
  <si>
    <t>2103.B</t>
  </si>
  <si>
    <t>Tratamento de Efluentes (Lagoas)</t>
  </si>
  <si>
    <t>2103.C</t>
  </si>
  <si>
    <t>Depósito de Resíduos Sólidos</t>
  </si>
  <si>
    <t>2103.D</t>
  </si>
  <si>
    <r>
      <t xml:space="preserve">Secadores de </t>
    </r>
    <r>
      <rPr>
        <i/>
        <sz val="8"/>
        <rFont val="Montserrat"/>
      </rPr>
      <t>Distiller’s Dried Grains with Solubles</t>
    </r>
    <r>
      <rPr>
        <sz val="8"/>
        <rFont val="Montserrat"/>
      </rPr>
      <t xml:space="preserve"> (DDGS)</t>
    </r>
  </si>
  <si>
    <t>Sistema de Controle Ambiental</t>
  </si>
  <si>
    <t>SCA Macro</t>
  </si>
  <si>
    <t>MACRO ÁREA</t>
  </si>
  <si>
    <t>ILHA DE PROCESSO</t>
  </si>
  <si>
    <t>TIPO</t>
  </si>
  <si>
    <t>PROCESSO</t>
  </si>
  <si>
    <t>Macro área</t>
  </si>
  <si>
    <t>Processo</t>
  </si>
  <si>
    <t>Ilha de processo de processo</t>
  </si>
  <si>
    <t>Ilha de Processo</t>
  </si>
  <si>
    <t>Hangar</t>
  </si>
  <si>
    <t>Decanter</t>
  </si>
  <si>
    <t>Secadores de DDGS</t>
  </si>
  <si>
    <t>Estação Redutora de Pressão</t>
  </si>
  <si>
    <t>SPCI</t>
  </si>
  <si>
    <t>Balança Rodoviária</t>
  </si>
  <si>
    <t>Lagoas (Tratamento de Efluentes)</t>
  </si>
  <si>
    <t>Casa de Máquinas</t>
  </si>
  <si>
    <t>Pré-Limpeza</t>
  </si>
  <si>
    <t>Moega</t>
  </si>
  <si>
    <t>Elevador</t>
  </si>
  <si>
    <t>Área Descrição MAM</t>
  </si>
  <si>
    <t>TOTAL DE SCAs</t>
  </si>
  <si>
    <t>% A CONCLUIR</t>
  </si>
  <si>
    <t>DADOS DO PROJETO</t>
  </si>
  <si>
    <t>Caixa de passagem (Estrutura Civil)</t>
  </si>
  <si>
    <t>Caixa de passagem (Grelha)</t>
  </si>
  <si>
    <t>Canaletas Simples</t>
  </si>
  <si>
    <t>Escada Hidráulica no Talude</t>
  </si>
  <si>
    <t>Talude sem erosão</t>
  </si>
  <si>
    <t>Vertedouro</t>
  </si>
  <si>
    <t>Monge</t>
  </si>
  <si>
    <t>Conexão com a drenagem da planta</t>
  </si>
  <si>
    <t>SUMP - Estrutura Civil</t>
  </si>
  <si>
    <t>SUMP - Bombas Instaladas</t>
  </si>
  <si>
    <t>SUMP - Grelhas</t>
  </si>
  <si>
    <t>SUMP - Sistema de Nível</t>
  </si>
  <si>
    <t>Canaletas - Estrutura Civil</t>
  </si>
  <si>
    <t>Canaletas - Grelhas</t>
  </si>
  <si>
    <t>Caixa de Manobra - Estrutura Civil</t>
  </si>
  <si>
    <t>Caixa de Manobra - Válvulas</t>
  </si>
  <si>
    <t>Caixa de Manobra - Grelha</t>
  </si>
  <si>
    <t>Bacia de Contenção</t>
  </si>
  <si>
    <t>Canaleta - Estrutura Civil</t>
  </si>
  <si>
    <t>Canaleta - Grelha</t>
  </si>
  <si>
    <t xml:space="preserve">Bacia de contenção </t>
  </si>
  <si>
    <t>Canaleta simples - Estrutura Civil</t>
  </si>
  <si>
    <t>Taludes Internos</t>
  </si>
  <si>
    <t>Canaleta (Estrutura Civil)</t>
  </si>
  <si>
    <t>Canaleta (Grelha)</t>
  </si>
  <si>
    <t>Caixa de Passagem (estrutura civil)</t>
  </si>
  <si>
    <t>Caixa de Passagem (grelha)</t>
  </si>
  <si>
    <t>Graute das bases</t>
  </si>
  <si>
    <t>bombas instaladas</t>
  </si>
  <si>
    <t>Fosso - estrutura Civil</t>
  </si>
  <si>
    <t>Caixa de passagem - Estrutura Civil</t>
  </si>
  <si>
    <t>Caixa de passagem - Grelha</t>
  </si>
  <si>
    <t xml:space="preserve">Lagoa de segurança </t>
  </si>
  <si>
    <t>Bacia de Conteção - Tanques</t>
  </si>
  <si>
    <t>Bacia de contenção - Químicos</t>
  </si>
  <si>
    <t>Baia de químicos - Estrutura Civil</t>
  </si>
  <si>
    <t>Baia de químicos - Canaletas Simples</t>
  </si>
  <si>
    <t>Bacia de Contenção Tanque 15m³ - Estrutura Civil</t>
  </si>
  <si>
    <t>Bacia de Contenção Tanque 15m³ - Válvula</t>
  </si>
  <si>
    <t>Taludes com grama</t>
  </si>
  <si>
    <t>Interligação nas lagoas</t>
  </si>
  <si>
    <t>Sala Elétricas - SE</t>
  </si>
  <si>
    <t xml:space="preserve"> Motor LCI</t>
  </si>
  <si>
    <t>Caixa SAO - Estrutura Civil</t>
  </si>
  <si>
    <t>Bacia de contenção Trafo - Estrutura Civil</t>
  </si>
  <si>
    <t>Piso impermeabilizado/Compactado</t>
  </si>
  <si>
    <t>Bacia de contenção Pistões - Estrutura Civil</t>
  </si>
  <si>
    <t>Bacia de contenção SKID - Estrutura Civil</t>
  </si>
  <si>
    <t>Bacia de contenção - Estrutura Civil</t>
  </si>
  <si>
    <t>Bacia de Contenção IBC - Estrutura Civil</t>
  </si>
  <si>
    <t>Operando via COI</t>
  </si>
  <si>
    <t>Descarga de Soda</t>
  </si>
  <si>
    <t>Casa de Bombas - LGE</t>
  </si>
  <si>
    <t>Nível</t>
  </si>
  <si>
    <t>Descrição</t>
  </si>
  <si>
    <t>EDT</t>
  </si>
  <si>
    <t>Nome da Tarefa</t>
  </si>
  <si>
    <t>% concluído</t>
  </si>
  <si>
    <t>Duração
(total)</t>
  </si>
  <si>
    <t>Duração
(úteis int)</t>
  </si>
  <si>
    <t>Início</t>
  </si>
  <si>
    <t>Término</t>
  </si>
  <si>
    <t>PROJETO</t>
  </si>
  <si>
    <t>DEPARTAMENTO</t>
  </si>
  <si>
    <t>MEIO AMBIENTE</t>
  </si>
  <si>
    <t>SCA</t>
  </si>
  <si>
    <t>1.1.1</t>
  </si>
  <si>
    <t>PROTOCOLO DO RELATÓRIO FINAL DE OBRA</t>
  </si>
  <si>
    <t>VISTORIA AMBIENTAL</t>
  </si>
  <si>
    <t>OBRA</t>
  </si>
  <si>
    <t>1.2.1</t>
  </si>
  <si>
    <t>GERAL</t>
  </si>
  <si>
    <t>DISCIPLINA</t>
  </si>
  <si>
    <t>1.2.1.1</t>
  </si>
  <si>
    <t>CIVIL</t>
  </si>
  <si>
    <t>1.2.1.1.1</t>
  </si>
  <si>
    <t>1.2.1.1.2</t>
  </si>
  <si>
    <t>1.2.1.1.3</t>
  </si>
  <si>
    <t>1.2.1.1.4</t>
  </si>
  <si>
    <t>1.2.1.1.5</t>
  </si>
  <si>
    <t>1.2.1.1.6</t>
  </si>
  <si>
    <t>1.2.1.1.7</t>
  </si>
  <si>
    <t>1.2.1.1.8</t>
  </si>
  <si>
    <t>1.2.1.2</t>
  </si>
  <si>
    <t>METÁLICA</t>
  </si>
  <si>
    <t>1.2.1.2.1</t>
  </si>
  <si>
    <t>1.2.1.2.2</t>
  </si>
  <si>
    <t>1.2.1.2.3</t>
  </si>
  <si>
    <t>1.2.1.2.4</t>
  </si>
  <si>
    <t>1.2.1.2.5</t>
  </si>
  <si>
    <t>1.2.1.2.6</t>
  </si>
  <si>
    <t>1.2.1.2.7</t>
  </si>
  <si>
    <t>1.2.1.2.8</t>
  </si>
  <si>
    <t>1.2.1.3</t>
  </si>
  <si>
    <t>MECÂNICA</t>
  </si>
  <si>
    <t>1.2.1.3.1</t>
  </si>
  <si>
    <t>1.2.1.3.2</t>
  </si>
  <si>
    <t>1.2.1.3.3</t>
  </si>
  <si>
    <t>1.2.1.3.4</t>
  </si>
  <si>
    <t>1.2.1.3.5</t>
  </si>
  <si>
    <t>1.2.1.3.6</t>
  </si>
  <si>
    <t>1.2.1.3.7</t>
  </si>
  <si>
    <t>1.2.1.3.8</t>
  </si>
  <si>
    <t>1.2.1.4</t>
  </si>
  <si>
    <t>ELÉTRICA</t>
  </si>
  <si>
    <t>1.2.1.4.1</t>
  </si>
  <si>
    <t>1.2.1.4.2</t>
  </si>
  <si>
    <t>1.2.1.4.3</t>
  </si>
  <si>
    <t>1.2.1.4.4</t>
  </si>
  <si>
    <t>1.2.1.4.5</t>
  </si>
  <si>
    <t>1.2.1.4.6</t>
  </si>
  <si>
    <t>1.2.1.4.7</t>
  </si>
  <si>
    <t>1.2.1.4.8</t>
  </si>
  <si>
    <t>1.2.1.5</t>
  </si>
  <si>
    <t>INSTRUMENTAÇÃO</t>
  </si>
  <si>
    <t>1.2.1.5.1</t>
  </si>
  <si>
    <t>1.2.1.5.2</t>
  </si>
  <si>
    <t>1.2.1.5.3</t>
  </si>
  <si>
    <t>1.2.1.5.4</t>
  </si>
  <si>
    <t>1.2.1.5.5</t>
  </si>
  <si>
    <t>1.2.1.5.6</t>
  </si>
  <si>
    <t>1.2.1.5.7</t>
  </si>
  <si>
    <t>1.2.1.5.8</t>
  </si>
  <si>
    <t>1.2.1.6</t>
  </si>
  <si>
    <t>AUTOMAÇÃO</t>
  </si>
  <si>
    <t>1.2.1.6.1</t>
  </si>
  <si>
    <t>1.2.1.6.2</t>
  </si>
  <si>
    <t>1.2.1.6.3</t>
  </si>
  <si>
    <t>1.2.1.6.4</t>
  </si>
  <si>
    <t>1.2.1.6.5</t>
  </si>
  <si>
    <t>1.2.1.6.6</t>
  </si>
  <si>
    <t>1.2.1.6.7</t>
  </si>
  <si>
    <t>1.2.1.6.8</t>
  </si>
  <si>
    <t>1.2.2</t>
  </si>
  <si>
    <t>MOINHO DE GRÃOS</t>
  </si>
  <si>
    <t>1.2.2.1</t>
  </si>
  <si>
    <t>1.2.2.1.1</t>
  </si>
  <si>
    <t>1.2.2.1.2</t>
  </si>
  <si>
    <t>1.2.2.1.3</t>
  </si>
  <si>
    <t>1.2.2.1.4</t>
  </si>
  <si>
    <t>1.2.2.1.5</t>
  </si>
  <si>
    <t>1.2.2.1.6</t>
  </si>
  <si>
    <t>1.2.2.1.7</t>
  </si>
  <si>
    <t>1.2.2.1.8</t>
  </si>
  <si>
    <t>1.2.2.2</t>
  </si>
  <si>
    <t>1.2.2.2.1</t>
  </si>
  <si>
    <t>1.2.2.2.2</t>
  </si>
  <si>
    <t>1.2.2.2.3</t>
  </si>
  <si>
    <t>1.2.2.2.4</t>
  </si>
  <si>
    <t>1.2.2.2.5</t>
  </si>
  <si>
    <t>1.2.2.2.6</t>
  </si>
  <si>
    <t>1.2.2.2.7</t>
  </si>
  <si>
    <t>1.2.2.2.8</t>
  </si>
  <si>
    <t>1.2.2.3</t>
  </si>
  <si>
    <t>1.2.2.3.1</t>
  </si>
  <si>
    <t>1.2.2.3.2</t>
  </si>
  <si>
    <t>1.2.2.3.3</t>
  </si>
  <si>
    <t>1.2.2.3.4</t>
  </si>
  <si>
    <t>1.2.2.3.5</t>
  </si>
  <si>
    <t>1.2.2.3.6</t>
  </si>
  <si>
    <t>1.2.2.3.7</t>
  </si>
  <si>
    <t>1.2.2.3.8</t>
  </si>
  <si>
    <t>1.2.2.4</t>
  </si>
  <si>
    <t>1.2.2.4.1</t>
  </si>
  <si>
    <t>1.2.2.4.2</t>
  </si>
  <si>
    <t>1.2.2.4.3</t>
  </si>
  <si>
    <t>1.2.2.4.4</t>
  </si>
  <si>
    <t>1.2.2.4.5</t>
  </si>
  <si>
    <t>1.2.2.4.6</t>
  </si>
  <si>
    <t>1.2.2.4.7</t>
  </si>
  <si>
    <t>1.2.2.4.8</t>
  </si>
  <si>
    <t>1.2.2.5</t>
  </si>
  <si>
    <t>1.2.2.5.1</t>
  </si>
  <si>
    <t>1.2.2.5.2</t>
  </si>
  <si>
    <t>1.2.2.5.3</t>
  </si>
  <si>
    <t>1.2.2.5.4</t>
  </si>
  <si>
    <t>1.2.2.5.5</t>
  </si>
  <si>
    <t>1.2.2.5.6</t>
  </si>
  <si>
    <t>1.2.2.5.7</t>
  </si>
  <si>
    <t>1.2.2.5.8</t>
  </si>
  <si>
    <t>1.2.2.6</t>
  </si>
  <si>
    <t>1.2.3</t>
  </si>
  <si>
    <t>COZIMENTO</t>
  </si>
  <si>
    <t>1.2.3.1</t>
  </si>
  <si>
    <t>1.2.3.1.1</t>
  </si>
  <si>
    <t>1.2.3.1.2</t>
  </si>
  <si>
    <t>1.2.3.1.3</t>
  </si>
  <si>
    <t>1.2.3.1.4</t>
  </si>
  <si>
    <t>1.2.3.1.5</t>
  </si>
  <si>
    <t>1.2.3.1.6</t>
  </si>
  <si>
    <t>1.2.3.1.7</t>
  </si>
  <si>
    <t>1.2.3.1.8</t>
  </si>
  <si>
    <t>1.2.3.2</t>
  </si>
  <si>
    <t>1.2.3.2.1</t>
  </si>
  <si>
    <t>1.2.3.2.2</t>
  </si>
  <si>
    <t>1.2.3.2.3</t>
  </si>
  <si>
    <t>1.2.3.2.4</t>
  </si>
  <si>
    <t>1.2.3.2.5</t>
  </si>
  <si>
    <t>1.2.3.2.6</t>
  </si>
  <si>
    <t>1.2.3.2.7</t>
  </si>
  <si>
    <t>1.2.3.2.8</t>
  </si>
  <si>
    <t>1.2.3.3</t>
  </si>
  <si>
    <t>1.2.3.3.1</t>
  </si>
  <si>
    <t>1.2.3.3.2</t>
  </si>
  <si>
    <t>1.2.3.3.3</t>
  </si>
  <si>
    <t>1.2.3.3.4</t>
  </si>
  <si>
    <t>1.2.3.3.5</t>
  </si>
  <si>
    <t>1.2.3.3.6</t>
  </si>
  <si>
    <t>1.2.3.3.7</t>
  </si>
  <si>
    <t>1.2.3.3.8</t>
  </si>
  <si>
    <t>1.2.3.4</t>
  </si>
  <si>
    <t>1.2.3.4.1</t>
  </si>
  <si>
    <t>1.2.3.4.2</t>
  </si>
  <si>
    <t>1.2.3.4.3</t>
  </si>
  <si>
    <t>1.2.3.4.4</t>
  </si>
  <si>
    <t>1.2.3.4.5</t>
  </si>
  <si>
    <t>1.2.3.4.6</t>
  </si>
  <si>
    <t>1.2.3.4.7</t>
  </si>
  <si>
    <t>1.2.3.4.8</t>
  </si>
  <si>
    <t>1.2.3.5</t>
  </si>
  <si>
    <t>1.2.3.5.1</t>
  </si>
  <si>
    <t>1.2.3.5.2</t>
  </si>
  <si>
    <t>1.2.3.5.3</t>
  </si>
  <si>
    <t>1.2.3.5.4</t>
  </si>
  <si>
    <t>1.2.3.5.5</t>
  </si>
  <si>
    <t>1.2.3.5.6</t>
  </si>
  <si>
    <t>1.2.3.5.7</t>
  </si>
  <si>
    <t>1.2.3.5.8</t>
  </si>
  <si>
    <t>1.2.3.6</t>
  </si>
  <si>
    <t>1.2.4</t>
  </si>
  <si>
    <t>FERMENTAÇÃO</t>
  </si>
  <si>
    <t>1.2.4.1</t>
  </si>
  <si>
    <t>1.2.4.1.1</t>
  </si>
  <si>
    <t>1.2.4.1.2</t>
  </si>
  <si>
    <t>1.2.4.1.3</t>
  </si>
  <si>
    <t>1.2.4.1.4</t>
  </si>
  <si>
    <t>1.2.4.1.5</t>
  </si>
  <si>
    <t>1.2.4.1.6</t>
  </si>
  <si>
    <t>1.2.4.1.7</t>
  </si>
  <si>
    <t>1.2.4.1.8</t>
  </si>
  <si>
    <t>1.2.4.2</t>
  </si>
  <si>
    <t>1.2.4.2.1</t>
  </si>
  <si>
    <t>1.2.4.2.2</t>
  </si>
  <si>
    <t>1.2.4.2.3</t>
  </si>
  <si>
    <t>1.2.4.2.4</t>
  </si>
  <si>
    <t>1.2.4.2.5</t>
  </si>
  <si>
    <t>1.2.4.2.6</t>
  </si>
  <si>
    <t>1.2.4.2.7</t>
  </si>
  <si>
    <t>1.2.4.2.8</t>
  </si>
  <si>
    <t>1.2.4.3</t>
  </si>
  <si>
    <t>1.2.4.3.1</t>
  </si>
  <si>
    <t>1.2.4.3.2</t>
  </si>
  <si>
    <t>1.2.4.3.3</t>
  </si>
  <si>
    <t>1.2.4.3.4</t>
  </si>
  <si>
    <t>1.2.4.3.5</t>
  </si>
  <si>
    <t>1.2.4.3.6</t>
  </si>
  <si>
    <t>1.2.4.3.7</t>
  </si>
  <si>
    <t>1.2.4.3.8</t>
  </si>
  <si>
    <t>1.2.4.4</t>
  </si>
  <si>
    <t>1.2.4.4.1</t>
  </si>
  <si>
    <t>1.2.4.4.2</t>
  </si>
  <si>
    <t>1.2.4.4.3</t>
  </si>
  <si>
    <t>1.2.4.4.4</t>
  </si>
  <si>
    <t>1.2.4.4.5</t>
  </si>
  <si>
    <t>1.2.4.4.6</t>
  </si>
  <si>
    <t>1.2.4.4.7</t>
  </si>
  <si>
    <t>1.2.4.4.8</t>
  </si>
  <si>
    <t>1.2.4.5</t>
  </si>
  <si>
    <t>1.2.4.5.1</t>
  </si>
  <si>
    <t>1.2.4.5.2</t>
  </si>
  <si>
    <t>1.2.4.5.3</t>
  </si>
  <si>
    <t>1.2.4.5.4</t>
  </si>
  <si>
    <t>1.2.4.5.5</t>
  </si>
  <si>
    <t>1.2.4.5.6</t>
  </si>
  <si>
    <t>1.2.4.5.7</t>
  </si>
  <si>
    <t>1.2.4.5.8</t>
  </si>
  <si>
    <t>1.2.4.6</t>
  </si>
  <si>
    <t>1.2.5</t>
  </si>
  <si>
    <t>DESTILARIA</t>
  </si>
  <si>
    <t>1.2.5.1</t>
  </si>
  <si>
    <t>1.2.5.1.1</t>
  </si>
  <si>
    <t>1.2.5.1.2</t>
  </si>
  <si>
    <t>1.2.5.1.3</t>
  </si>
  <si>
    <t>1.2.5.1.4</t>
  </si>
  <si>
    <t>1.2.5.1.5</t>
  </si>
  <si>
    <t>1.2.5.1.6</t>
  </si>
  <si>
    <t>1.2.5.1.7</t>
  </si>
  <si>
    <t>1.2.5.1.8</t>
  </si>
  <si>
    <t>1.2.5.2</t>
  </si>
  <si>
    <t>1.2.5.2.1</t>
  </si>
  <si>
    <t>1.2.5.2.2</t>
  </si>
  <si>
    <t>1.2.5.2.3</t>
  </si>
  <si>
    <t>1.2.5.2.4</t>
  </si>
  <si>
    <t>1.2.5.2.5</t>
  </si>
  <si>
    <t>1.2.5.2.6</t>
  </si>
  <si>
    <t>1.2.5.2.7</t>
  </si>
  <si>
    <t>1.2.5.2.8</t>
  </si>
  <si>
    <t>1.2.5.3</t>
  </si>
  <si>
    <t>1.2.5.3.1</t>
  </si>
  <si>
    <t>1.2.5.3.2</t>
  </si>
  <si>
    <t>1.2.5.3.3</t>
  </si>
  <si>
    <t>1.2.5.3.4</t>
  </si>
  <si>
    <t>1.2.5.3.5</t>
  </si>
  <si>
    <t>1.2.5.3.6</t>
  </si>
  <si>
    <t>1.2.5.3.7</t>
  </si>
  <si>
    <t>1.2.5.3.8</t>
  </si>
  <si>
    <t>1.2.5.4</t>
  </si>
  <si>
    <t>1.2.5.4.1</t>
  </si>
  <si>
    <t>1.2.5.4.2</t>
  </si>
  <si>
    <t>1.2.5.4.3</t>
  </si>
  <si>
    <t>1.2.5.4.4</t>
  </si>
  <si>
    <t>1.2.5.4.5</t>
  </si>
  <si>
    <t>1.2.5.4.6</t>
  </si>
  <si>
    <t>1.2.5.4.7</t>
  </si>
  <si>
    <t>1.2.5.4.8</t>
  </si>
  <si>
    <t>1.2.5.5</t>
  </si>
  <si>
    <t>1.2.5.5.1</t>
  </si>
  <si>
    <t>1.2.5.5.2</t>
  </si>
  <si>
    <t>1.2.5.5.3</t>
  </si>
  <si>
    <t>1.2.5.5.4</t>
  </si>
  <si>
    <t>1.2.5.5.5</t>
  </si>
  <si>
    <t>1.2.5.5.6</t>
  </si>
  <si>
    <t>1.2.5.5.7</t>
  </si>
  <si>
    <t>1.2.5.5.8</t>
  </si>
  <si>
    <t>1.2.5.6</t>
  </si>
  <si>
    <t>1.2.6</t>
  </si>
  <si>
    <t>ARMAZENAMENTO E EXPEDIÇÃO DE ETANOL</t>
  </si>
  <si>
    <t>1.2.6.1</t>
  </si>
  <si>
    <t>1.2.6.1.1</t>
  </si>
  <si>
    <t>1.2.6.1.2</t>
  </si>
  <si>
    <t>1.2.6.1.3</t>
  </si>
  <si>
    <t>1.2.6.1.4</t>
  </si>
  <si>
    <t>1.2.6.1.5</t>
  </si>
  <si>
    <t>1.2.6.1.6</t>
  </si>
  <si>
    <t>1.2.6.1.7</t>
  </si>
  <si>
    <t>1.2.6.1.8</t>
  </si>
  <si>
    <t>1.2.6.2</t>
  </si>
  <si>
    <t>1.2.6.2.1</t>
  </si>
  <si>
    <t>1.2.6.2.2</t>
  </si>
  <si>
    <t>1.2.6.2.3</t>
  </si>
  <si>
    <t>1.2.6.2.4</t>
  </si>
  <si>
    <t>1.2.6.2.5</t>
  </si>
  <si>
    <t>1.2.6.2.6</t>
  </si>
  <si>
    <t>1.2.6.2.7</t>
  </si>
  <si>
    <t>1.2.6.2.8</t>
  </si>
  <si>
    <t>1.2.6.3</t>
  </si>
  <si>
    <t>1.2.6.3.1</t>
  </si>
  <si>
    <t>1.2.6.3.2</t>
  </si>
  <si>
    <t>1.2.6.3.3</t>
  </si>
  <si>
    <t>1.2.6.3.4</t>
  </si>
  <si>
    <t>1.2.6.3.5</t>
  </si>
  <si>
    <t>1.2.6.3.6</t>
  </si>
  <si>
    <t>1.2.6.3.7</t>
  </si>
  <si>
    <t>1.2.6.3.8</t>
  </si>
  <si>
    <t>1.2.6.4</t>
  </si>
  <si>
    <t>1.2.6.4.1</t>
  </si>
  <si>
    <t>1.2.6.4.2</t>
  </si>
  <si>
    <t>1.2.6.4.3</t>
  </si>
  <si>
    <t>1.2.6.4.4</t>
  </si>
  <si>
    <t>1.2.6.4.5</t>
  </si>
  <si>
    <t>1.2.6.4.6</t>
  </si>
  <si>
    <t>1.2.6.4.7</t>
  </si>
  <si>
    <t>1.2.6.4.8</t>
  </si>
  <si>
    <t>1.2.6.5</t>
  </si>
  <si>
    <t>1.2.6.5.1</t>
  </si>
  <si>
    <t>1.2.6.5.2</t>
  </si>
  <si>
    <t>1.2.6.5.3</t>
  </si>
  <si>
    <t>1.2.6.5.4</t>
  </si>
  <si>
    <t>1.2.6.5.5</t>
  </si>
  <si>
    <t>1.2.6.5.6</t>
  </si>
  <si>
    <t>1.2.6.5.7</t>
  </si>
  <si>
    <t>1.2.6.5.8</t>
  </si>
  <si>
    <t>1.2.6.6</t>
  </si>
  <si>
    <t>1.2.7</t>
  </si>
  <si>
    <t>SEPARAÇÃO DE SÓLIDOS E SECAGEM DE DDGS</t>
  </si>
  <si>
    <t>1.2.7.1</t>
  </si>
  <si>
    <t>1.2.7.1.1</t>
  </si>
  <si>
    <t>1.2.7.1.2</t>
  </si>
  <si>
    <t>1.2.7.1.3</t>
  </si>
  <si>
    <t>1.2.7.1.4</t>
  </si>
  <si>
    <t>1.2.7.1.5</t>
  </si>
  <si>
    <t>1.2.7.1.6</t>
  </si>
  <si>
    <t>1.2.7.1.7</t>
  </si>
  <si>
    <t>1.2.7.1.8</t>
  </si>
  <si>
    <t>1.2.7.2</t>
  </si>
  <si>
    <t>1.2.7.2.1</t>
  </si>
  <si>
    <t>1.2.7.2.2</t>
  </si>
  <si>
    <t>1.2.7.2.3</t>
  </si>
  <si>
    <t>1.2.7.2.4</t>
  </si>
  <si>
    <t>1.2.7.2.5</t>
  </si>
  <si>
    <t>1.2.7.2.6</t>
  </si>
  <si>
    <t>1.2.7.2.7</t>
  </si>
  <si>
    <t>1.2.7.2.8</t>
  </si>
  <si>
    <t>1.2.7.3</t>
  </si>
  <si>
    <t>1.2.7.3.1</t>
  </si>
  <si>
    <t>1.2.7.3.2</t>
  </si>
  <si>
    <t>1.2.7.3.3</t>
  </si>
  <si>
    <t>1.2.7.3.4</t>
  </si>
  <si>
    <t>1.2.7.3.5</t>
  </si>
  <si>
    <t>1.2.7.3.6</t>
  </si>
  <si>
    <t>1.2.7.3.7</t>
  </si>
  <si>
    <t>1.2.7.3.8</t>
  </si>
  <si>
    <t>1.2.7.4</t>
  </si>
  <si>
    <t>1.2.7.4.1</t>
  </si>
  <si>
    <t>1.2.7.4.2</t>
  </si>
  <si>
    <t>1.2.7.4.3</t>
  </si>
  <si>
    <t>1.2.7.4.4</t>
  </si>
  <si>
    <t>1.2.7.4.5</t>
  </si>
  <si>
    <t>1.2.7.4.6</t>
  </si>
  <si>
    <t>1.2.7.4.7</t>
  </si>
  <si>
    <t>1.2.7.4.8</t>
  </si>
  <si>
    <t>1.2.7.5</t>
  </si>
  <si>
    <t>1.2.7.5.1</t>
  </si>
  <si>
    <t>1.2.7.5.2</t>
  </si>
  <si>
    <t>1.2.7.5.3</t>
  </si>
  <si>
    <t>1.2.7.5.4</t>
  </si>
  <si>
    <t>1.2.7.5.5</t>
  </si>
  <si>
    <t>1.2.7.5.6</t>
  </si>
  <si>
    <t>1.2.7.5.7</t>
  </si>
  <si>
    <t>1.2.7.5.8</t>
  </si>
  <si>
    <t>1.2.7.6</t>
  </si>
  <si>
    <t>1.2.8</t>
  </si>
  <si>
    <t>SISTEMA DE EVAPORAÇÃO DE VINHAÇA</t>
  </si>
  <si>
    <t>1.2.8.1</t>
  </si>
  <si>
    <t>1.2.8.1.1</t>
  </si>
  <si>
    <t>1.2.8.1.2</t>
  </si>
  <si>
    <t>1.2.8.1.3</t>
  </si>
  <si>
    <t>1.2.8.1.4</t>
  </si>
  <si>
    <t>1.2.8.1.5</t>
  </si>
  <si>
    <t>1.2.8.1.6</t>
  </si>
  <si>
    <t>1.2.8.1.7</t>
  </si>
  <si>
    <t>1.2.8.1.8</t>
  </si>
  <si>
    <t>1.2.8.2</t>
  </si>
  <si>
    <t>1.2.8.2.1</t>
  </si>
  <si>
    <t>1.2.8.2.2</t>
  </si>
  <si>
    <t>1.2.8.2.3</t>
  </si>
  <si>
    <t>1.2.8.2.4</t>
  </si>
  <si>
    <t>1.2.8.2.5</t>
  </si>
  <si>
    <t>1.2.8.2.6</t>
  </si>
  <si>
    <t>1.2.8.2.7</t>
  </si>
  <si>
    <t>1.2.8.2.8</t>
  </si>
  <si>
    <t>1.2.8.3</t>
  </si>
  <si>
    <t>1.2.8.3.1</t>
  </si>
  <si>
    <t>1.2.8.3.2</t>
  </si>
  <si>
    <t>1.2.8.3.3</t>
  </si>
  <si>
    <t>1.2.8.3.4</t>
  </si>
  <si>
    <t>1.2.8.3.5</t>
  </si>
  <si>
    <t>1.2.8.3.6</t>
  </si>
  <si>
    <t>1.2.8.3.7</t>
  </si>
  <si>
    <t>1.2.8.3.8</t>
  </si>
  <si>
    <t>1.2.8.4</t>
  </si>
  <si>
    <t>1.2.8.4.1</t>
  </si>
  <si>
    <t>1.2.8.4.2</t>
  </si>
  <si>
    <t>1.2.8.4.3</t>
  </si>
  <si>
    <t>1.2.8.4.4</t>
  </si>
  <si>
    <t>1.2.8.4.5</t>
  </si>
  <si>
    <t>1.2.8.4.6</t>
  </si>
  <si>
    <t>1.2.8.4.7</t>
  </si>
  <si>
    <t>1.2.8.4.8</t>
  </si>
  <si>
    <t>1.2.8.5</t>
  </si>
  <si>
    <t>1.2.8.5.1</t>
  </si>
  <si>
    <t>1.2.8.5.2</t>
  </si>
  <si>
    <t>1.2.8.5.3</t>
  </si>
  <si>
    <t>1.2.8.5.4</t>
  </si>
  <si>
    <t>1.2.8.5.5</t>
  </si>
  <si>
    <t>1.2.8.5.6</t>
  </si>
  <si>
    <t>1.2.8.5.7</t>
  </si>
  <si>
    <t>1.2.8.5.8</t>
  </si>
  <si>
    <t>1.2.8.6</t>
  </si>
  <si>
    <t>1.2.9</t>
  </si>
  <si>
    <t>FÁBRICA DE ÓLEO</t>
  </si>
  <si>
    <t>1.2.9.1</t>
  </si>
  <si>
    <t>1.2.9.1.1</t>
  </si>
  <si>
    <t>1.2.9.1.2</t>
  </si>
  <si>
    <t>1.2.9.1.3</t>
  </si>
  <si>
    <t>1.2.9.1.4</t>
  </si>
  <si>
    <t>1.2.9.1.5</t>
  </si>
  <si>
    <t>1.2.9.1.6</t>
  </si>
  <si>
    <t>1.2.9.1.7</t>
  </si>
  <si>
    <t>1.2.9.1.8</t>
  </si>
  <si>
    <t>1.2.9.2</t>
  </si>
  <si>
    <t>1.2.9.2.1</t>
  </si>
  <si>
    <t>1.2.9.2.2</t>
  </si>
  <si>
    <t>1.2.9.2.3</t>
  </si>
  <si>
    <t>1.2.9.2.4</t>
  </si>
  <si>
    <t>1.2.9.2.5</t>
  </si>
  <si>
    <t>1.2.9.2.6</t>
  </si>
  <si>
    <t>1.2.9.2.7</t>
  </si>
  <si>
    <t>1.2.9.2.8</t>
  </si>
  <si>
    <t>1.2.9.3</t>
  </si>
  <si>
    <t>1.2.9.3.1</t>
  </si>
  <si>
    <t>1.2.9.3.2</t>
  </si>
  <si>
    <t>1.2.9.3.3</t>
  </si>
  <si>
    <t>1.2.9.3.4</t>
  </si>
  <si>
    <t>1.2.9.3.5</t>
  </si>
  <si>
    <t>1.2.9.3.6</t>
  </si>
  <si>
    <t>1.2.9.3.7</t>
  </si>
  <si>
    <t>1.2.9.3.8</t>
  </si>
  <si>
    <t>1.2.9.4</t>
  </si>
  <si>
    <t>1.2.9.4.1</t>
  </si>
  <si>
    <t>1.2.9.4.2</t>
  </si>
  <si>
    <t>1.2.9.4.3</t>
  </si>
  <si>
    <t>1.2.9.4.4</t>
  </si>
  <si>
    <t>1.2.9.4.5</t>
  </si>
  <si>
    <t>1.2.9.4.6</t>
  </si>
  <si>
    <t>1.2.9.4.7</t>
  </si>
  <si>
    <t>1.2.9.4.8</t>
  </si>
  <si>
    <t>1.2.9.5</t>
  </si>
  <si>
    <t>1.2.9.5.1</t>
  </si>
  <si>
    <t>1.2.9.5.2</t>
  </si>
  <si>
    <t>1.2.9.5.3</t>
  </si>
  <si>
    <t>1.2.9.5.4</t>
  </si>
  <si>
    <t>1.2.9.5.5</t>
  </si>
  <si>
    <t>1.2.9.5.6</t>
  </si>
  <si>
    <t>1.2.9.5.7</t>
  </si>
  <si>
    <t>1.2.9.5.8</t>
  </si>
  <si>
    <t>1.2.9.6</t>
  </si>
  <si>
    <t>1.2.10</t>
  </si>
  <si>
    <t>BIOMASSA</t>
  </si>
  <si>
    <t>1.2.10.1</t>
  </si>
  <si>
    <t>1.2.10.1.1</t>
  </si>
  <si>
    <t>1.2.10.1.2</t>
  </si>
  <si>
    <t>1.2.10.1.3</t>
  </si>
  <si>
    <t>1.2.10.1.4</t>
  </si>
  <si>
    <t>1.2.10.1.5</t>
  </si>
  <si>
    <t>1.2.10.1.6</t>
  </si>
  <si>
    <t>1.2.10.1.7</t>
  </si>
  <si>
    <t>1.2.10.1.8</t>
  </si>
  <si>
    <t>1.2.10.2</t>
  </si>
  <si>
    <t>1.2.10.2.1</t>
  </si>
  <si>
    <t>1.2.10.2.2</t>
  </si>
  <si>
    <t>1.2.10.2.3</t>
  </si>
  <si>
    <t>1.2.10.2.4</t>
  </si>
  <si>
    <t>1.2.10.2.5</t>
  </si>
  <si>
    <t>1.2.10.2.6</t>
  </si>
  <si>
    <t>1.2.10.2.7</t>
  </si>
  <si>
    <t>1.2.10.2.8</t>
  </si>
  <si>
    <t>1.2.10.3</t>
  </si>
  <si>
    <t>1.2.10.3.1</t>
  </si>
  <si>
    <t>1.2.10.3.2</t>
  </si>
  <si>
    <t>1.2.10.3.3</t>
  </si>
  <si>
    <t>1.2.10.3.4</t>
  </si>
  <si>
    <t>1.2.10.3.5</t>
  </si>
  <si>
    <t>1.2.10.3.6</t>
  </si>
  <si>
    <t>1.2.10.3.7</t>
  </si>
  <si>
    <t>1.2.10.3.8</t>
  </si>
  <si>
    <t>1.2.10.4</t>
  </si>
  <si>
    <t>1.2.10.4.1</t>
  </si>
  <si>
    <t>1.2.10.4.2</t>
  </si>
  <si>
    <t>1.2.10.4.3</t>
  </si>
  <si>
    <t>1.2.10.4.4</t>
  </si>
  <si>
    <t>1.2.10.4.5</t>
  </si>
  <si>
    <t>1.2.10.4.6</t>
  </si>
  <si>
    <t>1.2.10.4.7</t>
  </si>
  <si>
    <t>1.2.10.4.8</t>
  </si>
  <si>
    <t>1.2.10.5</t>
  </si>
  <si>
    <t>1.2.10.5.1</t>
  </si>
  <si>
    <t>1.2.10.5.2</t>
  </si>
  <si>
    <t>1.2.10.5.3</t>
  </si>
  <si>
    <t>1.2.10.5.4</t>
  </si>
  <si>
    <t>1.2.10.5.5</t>
  </si>
  <si>
    <t>1.2.10.5.6</t>
  </si>
  <si>
    <t>1.2.10.5.7</t>
  </si>
  <si>
    <t>1.2.10.5.8</t>
  </si>
  <si>
    <t>1.2.10.6</t>
  </si>
  <si>
    <t>1.2.11</t>
  </si>
  <si>
    <t>GERAÇÃO DE VAPOR</t>
  </si>
  <si>
    <t>1.2.11.1</t>
  </si>
  <si>
    <t>1.2.11.1.1</t>
  </si>
  <si>
    <t>1.2.11.1.2</t>
  </si>
  <si>
    <t>1.2.11.1.3</t>
  </si>
  <si>
    <t>1.2.11.1.4</t>
  </si>
  <si>
    <t>1.2.11.1.5</t>
  </si>
  <si>
    <t>1.2.11.1.6</t>
  </si>
  <si>
    <t>1.2.11.1.7</t>
  </si>
  <si>
    <t>1.2.11.1.8</t>
  </si>
  <si>
    <t>1.2.11.2</t>
  </si>
  <si>
    <t>1.2.11.2.1</t>
  </si>
  <si>
    <t>1.2.11.2.2</t>
  </si>
  <si>
    <t>1.2.11.2.3</t>
  </si>
  <si>
    <t>1.2.11.2.4</t>
  </si>
  <si>
    <t>1.2.11.2.5</t>
  </si>
  <si>
    <t>1.2.11.2.6</t>
  </si>
  <si>
    <t>1.2.11.2.7</t>
  </si>
  <si>
    <t>1.2.11.2.8</t>
  </si>
  <si>
    <t>1.2.11.3</t>
  </si>
  <si>
    <t>1.2.11.3.1</t>
  </si>
  <si>
    <t>1.2.11.3.2</t>
  </si>
  <si>
    <t>1.2.11.3.3</t>
  </si>
  <si>
    <t>1.2.11.3.4</t>
  </si>
  <si>
    <t>1.2.11.3.5</t>
  </si>
  <si>
    <t>1.2.11.3.6</t>
  </si>
  <si>
    <t>1.2.11.3.7</t>
  </si>
  <si>
    <t>1.2.11.3.8</t>
  </si>
  <si>
    <t>1.2.11.4</t>
  </si>
  <si>
    <t>1.2.11.4.1</t>
  </si>
  <si>
    <t>1.2.11.4.2</t>
  </si>
  <si>
    <t>1.2.11.4.3</t>
  </si>
  <si>
    <t>1.2.11.4.4</t>
  </si>
  <si>
    <t>1.2.11.4.5</t>
  </si>
  <si>
    <t>1.2.11.4.6</t>
  </si>
  <si>
    <t>1.2.11.4.7</t>
  </si>
  <si>
    <t>1.2.11.4.8</t>
  </si>
  <si>
    <t>1.2.11.5</t>
  </si>
  <si>
    <t>1.2.11.5.1</t>
  </si>
  <si>
    <t>1.2.11.5.2</t>
  </si>
  <si>
    <t>1.2.11.5.3</t>
  </si>
  <si>
    <t>1.2.11.5.4</t>
  </si>
  <si>
    <t>1.2.11.5.5</t>
  </si>
  <si>
    <t>1.2.11.5.6</t>
  </si>
  <si>
    <t>1.2.11.5.7</t>
  </si>
  <si>
    <t>1.2.11.5.8</t>
  </si>
  <si>
    <t>1.2.11.6</t>
  </si>
  <si>
    <t>1.2.12</t>
  </si>
  <si>
    <t>SISTEMA DE GERAÇÃO DE AR COMPRIMIDO</t>
  </si>
  <si>
    <t>1.2.12.1</t>
  </si>
  <si>
    <t>1.2.12.1.1</t>
  </si>
  <si>
    <t>1.2.12.1.2</t>
  </si>
  <si>
    <t>1.2.12.1.3</t>
  </si>
  <si>
    <t>1.2.12.1.4</t>
  </si>
  <si>
    <t>1.2.12.1.5</t>
  </si>
  <si>
    <t>1.2.12.1.6</t>
  </si>
  <si>
    <t>1.2.12.1.7</t>
  </si>
  <si>
    <t>1.2.12.1.8</t>
  </si>
  <si>
    <t>1.2.12.2</t>
  </si>
  <si>
    <t>1.2.12.2.1</t>
  </si>
  <si>
    <t>1.2.12.2.2</t>
  </si>
  <si>
    <t>1.2.12.2.3</t>
  </si>
  <si>
    <t>1.2.12.2.4</t>
  </si>
  <si>
    <t>1.2.12.2.5</t>
  </si>
  <si>
    <t>1.2.12.2.6</t>
  </si>
  <si>
    <t>1.2.12.2.7</t>
  </si>
  <si>
    <t>1.2.12.2.8</t>
  </si>
  <si>
    <t>1.2.12.3</t>
  </si>
  <si>
    <t>1.2.12.3.1</t>
  </si>
  <si>
    <t>1.2.12.3.2</t>
  </si>
  <si>
    <t>1.2.12.3.3</t>
  </si>
  <si>
    <t>1.2.12.3.4</t>
  </si>
  <si>
    <t>1.2.12.3.5</t>
  </si>
  <si>
    <t>1.2.12.3.6</t>
  </si>
  <si>
    <t>1.2.12.3.7</t>
  </si>
  <si>
    <t>1.2.12.3.8</t>
  </si>
  <si>
    <t>1.2.12.4</t>
  </si>
  <si>
    <t>1.2.12.4.1</t>
  </si>
  <si>
    <t>1.2.12.4.2</t>
  </si>
  <si>
    <t>1.2.12.4.3</t>
  </si>
  <si>
    <t>1.2.12.4.4</t>
  </si>
  <si>
    <t>1.2.12.4.5</t>
  </si>
  <si>
    <t>1.2.12.4.6</t>
  </si>
  <si>
    <t>1.2.12.4.7</t>
  </si>
  <si>
    <t>1.2.12.4.8</t>
  </si>
  <si>
    <t>1.2.12.5</t>
  </si>
  <si>
    <t>1.2.12.5.1</t>
  </si>
  <si>
    <t>1.2.12.5.2</t>
  </si>
  <si>
    <t>1.2.12.5.3</t>
  </si>
  <si>
    <t>1.2.12.5.4</t>
  </si>
  <si>
    <t>1.2.12.5.5</t>
  </si>
  <si>
    <t>1.2.12.5.6</t>
  </si>
  <si>
    <t>1.2.12.5.7</t>
  </si>
  <si>
    <t>1.2.12.5.8</t>
  </si>
  <si>
    <t>1.2.12.6</t>
  </si>
  <si>
    <t>1.2.13</t>
  </si>
  <si>
    <t>ESTAÇÃO DE TRATAMENTO DE ÁGUA (ETA)</t>
  </si>
  <si>
    <t>1.2.13.1</t>
  </si>
  <si>
    <t>1.2.13.1.1</t>
  </si>
  <si>
    <t>1.2.13.1.2</t>
  </si>
  <si>
    <t>1.2.13.1.3</t>
  </si>
  <si>
    <t>1.2.13.1.4</t>
  </si>
  <si>
    <t>1.2.13.1.5</t>
  </si>
  <si>
    <t>1.2.13.1.6</t>
  </si>
  <si>
    <t>1.2.13.1.7</t>
  </si>
  <si>
    <t>1.2.13.1.8</t>
  </si>
  <si>
    <t>1.2.13.2</t>
  </si>
  <si>
    <t>1.2.13.2.1</t>
  </si>
  <si>
    <t>1.2.13.2.2</t>
  </si>
  <si>
    <t>1.2.13.2.3</t>
  </si>
  <si>
    <t>1.2.13.2.4</t>
  </si>
  <si>
    <t>1.2.13.2.5</t>
  </si>
  <si>
    <t>1.2.13.2.6</t>
  </si>
  <si>
    <t>1.2.13.2.7</t>
  </si>
  <si>
    <t>1.2.13.2.8</t>
  </si>
  <si>
    <t>1.2.13.3</t>
  </si>
  <si>
    <t>1.2.13.3.1</t>
  </si>
  <si>
    <t>1.2.13.3.2</t>
  </si>
  <si>
    <t>1.2.13.3.3</t>
  </si>
  <si>
    <t>1.2.13.3.4</t>
  </si>
  <si>
    <t>1.2.13.3.5</t>
  </si>
  <si>
    <t>1.2.13.3.6</t>
  </si>
  <si>
    <t>1.2.13.3.7</t>
  </si>
  <si>
    <t>1.2.13.3.8</t>
  </si>
  <si>
    <t>1.2.13.4</t>
  </si>
  <si>
    <t>1.2.13.4.1</t>
  </si>
  <si>
    <t>1.2.13.4.2</t>
  </si>
  <si>
    <t>1.2.13.4.3</t>
  </si>
  <si>
    <t>1.2.13.4.4</t>
  </si>
  <si>
    <t>1.2.13.4.5</t>
  </si>
  <si>
    <t>1.2.13.4.6</t>
  </si>
  <si>
    <t>1.2.13.4.7</t>
  </si>
  <si>
    <t>1.2.13.4.8</t>
  </si>
  <si>
    <t>1.2.13.5</t>
  </si>
  <si>
    <t>1.2.13.5.1</t>
  </si>
  <si>
    <t>1.2.13.5.2</t>
  </si>
  <si>
    <t>1.2.13.5.3</t>
  </si>
  <si>
    <t>1.2.13.5.4</t>
  </si>
  <si>
    <t>1.2.13.5.5</t>
  </si>
  <si>
    <t>1.2.13.5.6</t>
  </si>
  <si>
    <t>1.2.13.5.7</t>
  </si>
  <si>
    <t>1.2.13.5.8</t>
  </si>
  <si>
    <t>1.2.13.6</t>
  </si>
  <si>
    <t>1.2.14</t>
  </si>
  <si>
    <t>SISTEMA DE REFRIGERAÇÃO DE ÁGUA</t>
  </si>
  <si>
    <t>1.2.14.1</t>
  </si>
  <si>
    <t>1.2.14.1.1</t>
  </si>
  <si>
    <t>1.2.14.1.2</t>
  </si>
  <si>
    <t>1.2.14.1.3</t>
  </si>
  <si>
    <t>1.2.14.1.4</t>
  </si>
  <si>
    <t>1.2.14.1.5</t>
  </si>
  <si>
    <t>1.2.14.1.6</t>
  </si>
  <si>
    <t>1.2.14.1.7</t>
  </si>
  <si>
    <t>1.2.14.1.8</t>
  </si>
  <si>
    <t>1.2.14.2</t>
  </si>
  <si>
    <t>1.2.14.2.1</t>
  </si>
  <si>
    <t>1.2.14.2.2</t>
  </si>
  <si>
    <t>1.2.14.2.3</t>
  </si>
  <si>
    <t>1.2.14.2.4</t>
  </si>
  <si>
    <t>1.2.14.2.5</t>
  </si>
  <si>
    <t>1.2.14.2.6</t>
  </si>
  <si>
    <t>1.2.14.2.7</t>
  </si>
  <si>
    <t>1.2.14.2.8</t>
  </si>
  <si>
    <t>1.2.14.3</t>
  </si>
  <si>
    <t>1.2.14.3.1</t>
  </si>
  <si>
    <t>1.2.14.3.2</t>
  </si>
  <si>
    <t>1.2.14.3.3</t>
  </si>
  <si>
    <t>1.2.14.3.4</t>
  </si>
  <si>
    <t>1.2.14.3.5</t>
  </si>
  <si>
    <t>1.2.14.3.6</t>
  </si>
  <si>
    <t>1.2.14.3.7</t>
  </si>
  <si>
    <t>1.2.14.3.8</t>
  </si>
  <si>
    <t>1.2.14.4</t>
  </si>
  <si>
    <t>1.2.14.4.1</t>
  </si>
  <si>
    <t>1.2.14.4.2</t>
  </si>
  <si>
    <t>1.2.14.4.3</t>
  </si>
  <si>
    <t>1.2.14.4.4</t>
  </si>
  <si>
    <t>1.2.14.4.5</t>
  </si>
  <si>
    <t>1.2.14.4.6</t>
  </si>
  <si>
    <t>1.2.14.4.7</t>
  </si>
  <si>
    <t>1.2.14.4.8</t>
  </si>
  <si>
    <t>1.2.14.5</t>
  </si>
  <si>
    <t>1.2.14.5.1</t>
  </si>
  <si>
    <t>1.2.14.5.2</t>
  </si>
  <si>
    <t>1.2.14.5.3</t>
  </si>
  <si>
    <t>1.2.14.5.4</t>
  </si>
  <si>
    <t>1.2.14.5.5</t>
  </si>
  <si>
    <t>1.2.14.5.6</t>
  </si>
  <si>
    <t>1.2.14.5.7</t>
  </si>
  <si>
    <t>1.2.14.5.8</t>
  </si>
  <si>
    <t>1.2.14.6</t>
  </si>
  <si>
    <t>1.2.15</t>
  </si>
  <si>
    <t>SISTEMA DE COMBATE A INCÊNDIO</t>
  </si>
  <si>
    <t>1.2.15.1</t>
  </si>
  <si>
    <t>1.2.15.1.1</t>
  </si>
  <si>
    <t>1.2.15.1.2</t>
  </si>
  <si>
    <t>1.2.15.1.3</t>
  </si>
  <si>
    <t>1.2.15.1.4</t>
  </si>
  <si>
    <t>1.2.15.1.5</t>
  </si>
  <si>
    <t>1.2.15.1.6</t>
  </si>
  <si>
    <t>1.2.15.1.7</t>
  </si>
  <si>
    <t>1.2.15.1.8</t>
  </si>
  <si>
    <t>1.2.15.2</t>
  </si>
  <si>
    <t>1.2.15.2.1</t>
  </si>
  <si>
    <t>1.2.15.2.2</t>
  </si>
  <si>
    <t>1.2.15.2.3</t>
  </si>
  <si>
    <t>1.2.15.2.4</t>
  </si>
  <si>
    <t>1.2.15.2.5</t>
  </si>
  <si>
    <t>1.2.15.2.6</t>
  </si>
  <si>
    <t>1.2.15.2.7</t>
  </si>
  <si>
    <t>1.2.15.2.8</t>
  </si>
  <si>
    <t>1.2.15.3</t>
  </si>
  <si>
    <t>1.2.15.3.1</t>
  </si>
  <si>
    <t>1.2.15.3.2</t>
  </si>
  <si>
    <t>1.2.15.3.3</t>
  </si>
  <si>
    <t>1.2.15.3.4</t>
  </si>
  <si>
    <t>1.2.15.3.5</t>
  </si>
  <si>
    <t>1.2.15.3.6</t>
  </si>
  <si>
    <t>1.2.15.3.7</t>
  </si>
  <si>
    <t>1.2.15.3.8</t>
  </si>
  <si>
    <t>1.2.15.4</t>
  </si>
  <si>
    <t>1.2.15.4.1</t>
  </si>
  <si>
    <t>1.2.15.4.2</t>
  </si>
  <si>
    <t>1.2.15.4.3</t>
  </si>
  <si>
    <t>1.2.15.4.4</t>
  </si>
  <si>
    <t>1.2.15.4.5</t>
  </si>
  <si>
    <t>1.2.15.4.6</t>
  </si>
  <si>
    <t>1.2.15.4.7</t>
  </si>
  <si>
    <t>1.2.15.4.8</t>
  </si>
  <si>
    <t>1.2.15.5</t>
  </si>
  <si>
    <t>1.2.15.5.1</t>
  </si>
  <si>
    <t>1.2.15.5.2</t>
  </si>
  <si>
    <t>1.2.15.5.3</t>
  </si>
  <si>
    <t>1.2.15.5.4</t>
  </si>
  <si>
    <t>1.2.15.5.5</t>
  </si>
  <si>
    <t>1.2.15.5.6</t>
  </si>
  <si>
    <t>1.2.15.5.7</t>
  </si>
  <si>
    <t>1.2.15.5.8</t>
  </si>
  <si>
    <t>1.2.15.6</t>
  </si>
  <si>
    <t>1.2.16</t>
  </si>
  <si>
    <t>SISTEMA DE SELAGEM</t>
  </si>
  <si>
    <t>1.2.16.1</t>
  </si>
  <si>
    <t>1.2.16.1.1</t>
  </si>
  <si>
    <t>1.2.16.1.2</t>
  </si>
  <si>
    <t>1.2.16.1.3</t>
  </si>
  <si>
    <t>1.2.16.1.4</t>
  </si>
  <si>
    <t>1.2.16.1.5</t>
  </si>
  <si>
    <t>1.2.16.1.6</t>
  </si>
  <si>
    <t>1.2.16.1.7</t>
  </si>
  <si>
    <t>1.2.16.1.8</t>
  </si>
  <si>
    <t>1.2.16.2</t>
  </si>
  <si>
    <t>1.2.16.2.1</t>
  </si>
  <si>
    <t>1.2.16.2.2</t>
  </si>
  <si>
    <t>1.2.16.2.3</t>
  </si>
  <si>
    <t>1.2.16.2.4</t>
  </si>
  <si>
    <t>1.2.16.2.5</t>
  </si>
  <si>
    <t>1.2.16.2.6</t>
  </si>
  <si>
    <t>1.2.16.2.7</t>
  </si>
  <si>
    <t>1.2.16.2.8</t>
  </si>
  <si>
    <t>1.2.16.3</t>
  </si>
  <si>
    <t>1.2.16.3.1</t>
  </si>
  <si>
    <t>1.2.16.3.2</t>
  </si>
  <si>
    <t>1.2.16.3.3</t>
  </si>
  <si>
    <t>1.2.16.3.4</t>
  </si>
  <si>
    <t>1.2.16.3.5</t>
  </si>
  <si>
    <t>1.2.16.3.6</t>
  </si>
  <si>
    <t>1.2.16.3.7</t>
  </si>
  <si>
    <t>1.2.16.3.8</t>
  </si>
  <si>
    <t>1.2.16.4</t>
  </si>
  <si>
    <t>1.2.16.4.1</t>
  </si>
  <si>
    <t>1.2.16.4.2</t>
  </si>
  <si>
    <t>1.2.16.4.3</t>
  </si>
  <si>
    <t>1.2.16.4.4</t>
  </si>
  <si>
    <t>1.2.16.4.5</t>
  </si>
  <si>
    <t>1.2.16.4.6</t>
  </si>
  <si>
    <t>1.2.16.4.7</t>
  </si>
  <si>
    <t>1.2.16.4.8</t>
  </si>
  <si>
    <t>1.2.16.5</t>
  </si>
  <si>
    <t>1.2.16.5.1</t>
  </si>
  <si>
    <t>1.2.16.5.2</t>
  </si>
  <si>
    <t>1.2.16.5.3</t>
  </si>
  <si>
    <t>1.2.16.5.4</t>
  </si>
  <si>
    <t>1.2.16.5.5</t>
  </si>
  <si>
    <t>1.2.16.5.6</t>
  </si>
  <si>
    <t>1.2.16.5.7</t>
  </si>
  <si>
    <t>1.2.16.5.8</t>
  </si>
  <si>
    <t>1.2.16.6</t>
  </si>
  <si>
    <t>1.2.17</t>
  </si>
  <si>
    <t>RECEBIMENTO DE GRÃOS</t>
  </si>
  <si>
    <t>1.2.17.1</t>
  </si>
  <si>
    <t>1.2.17.1.1</t>
  </si>
  <si>
    <t>1.2.17.1.2</t>
  </si>
  <si>
    <t>1.2.17.1.3</t>
  </si>
  <si>
    <t>1.2.17.1.4</t>
  </si>
  <si>
    <t>1.2.17.1.5</t>
  </si>
  <si>
    <t>1.2.17.1.6</t>
  </si>
  <si>
    <t>1.2.17.1.7</t>
  </si>
  <si>
    <t>1.2.17.1.8</t>
  </si>
  <si>
    <t>1.2.17.2</t>
  </si>
  <si>
    <t>1.2.17.2.1</t>
  </si>
  <si>
    <t>1.2.17.2.2</t>
  </si>
  <si>
    <t>1.2.17.2.3</t>
  </si>
  <si>
    <t>1.2.17.2.4</t>
  </si>
  <si>
    <t>1.2.17.2.5</t>
  </si>
  <si>
    <t>1.2.17.2.6</t>
  </si>
  <si>
    <t>1.2.17.2.7</t>
  </si>
  <si>
    <t>1.2.17.2.8</t>
  </si>
  <si>
    <t>1.2.17.3</t>
  </si>
  <si>
    <t>1.2.17.3.1</t>
  </si>
  <si>
    <t>1.2.17.3.2</t>
  </si>
  <si>
    <t>1.2.17.3.3</t>
  </si>
  <si>
    <t>1.2.17.3.4</t>
  </si>
  <si>
    <t>1.2.17.3.5</t>
  </si>
  <si>
    <t>1.2.17.3.6</t>
  </si>
  <si>
    <t>1.2.17.3.7</t>
  </si>
  <si>
    <t>1.2.17.3.8</t>
  </si>
  <si>
    <t>1.2.17.4</t>
  </si>
  <si>
    <t>1.2.17.4.1</t>
  </si>
  <si>
    <t>1.2.17.4.2</t>
  </si>
  <si>
    <t>1.2.17.4.3</t>
  </si>
  <si>
    <t>1.2.17.4.4</t>
  </si>
  <si>
    <t>1.2.17.4.5</t>
  </si>
  <si>
    <t>1.2.17.4.6</t>
  </si>
  <si>
    <t>1.2.17.4.7</t>
  </si>
  <si>
    <t>1.2.17.4.8</t>
  </si>
  <si>
    <t>1.2.17.5</t>
  </si>
  <si>
    <t>1.2.17.5.1</t>
  </si>
  <si>
    <t>1.2.17.5.2</t>
  </si>
  <si>
    <t>1.2.17.5.3</t>
  </si>
  <si>
    <t>1.2.17.5.4</t>
  </si>
  <si>
    <t>1.2.17.5.5</t>
  </si>
  <si>
    <t>1.2.17.5.6</t>
  </si>
  <si>
    <t>1.2.17.5.7</t>
  </si>
  <si>
    <t>1.2.17.5.8</t>
  </si>
  <si>
    <t>1.2.17.6</t>
  </si>
  <si>
    <t>1.2.18</t>
  </si>
  <si>
    <t>DESCARREGAMENTO E ARMAZENAMENTO DE GRÃOS</t>
  </si>
  <si>
    <t>1.2.18.1</t>
  </si>
  <si>
    <t>1.2.18.1.1</t>
  </si>
  <si>
    <t>1.2.18.1.2</t>
  </si>
  <si>
    <t>1.2.18.1.3</t>
  </si>
  <si>
    <t>1.2.18.1.4</t>
  </si>
  <si>
    <t>1.2.18.1.5</t>
  </si>
  <si>
    <t>1.2.18.1.6</t>
  </si>
  <si>
    <t>1.2.18.1.7</t>
  </si>
  <si>
    <t>1.2.18.1.8</t>
  </si>
  <si>
    <t>1.2.18.2</t>
  </si>
  <si>
    <t>1.2.18.2.1</t>
  </si>
  <si>
    <t>1.2.18.2.2</t>
  </si>
  <si>
    <t>1.2.18.2.3</t>
  </si>
  <si>
    <t>1.2.18.2.4</t>
  </si>
  <si>
    <t>1.2.18.2.5</t>
  </si>
  <si>
    <t>1.2.18.2.6</t>
  </si>
  <si>
    <t>1.2.18.2.7</t>
  </si>
  <si>
    <t>1.2.18.2.8</t>
  </si>
  <si>
    <t>1.2.18.3</t>
  </si>
  <si>
    <t>1.2.18.3.1</t>
  </si>
  <si>
    <t>1.2.18.3.2</t>
  </si>
  <si>
    <t>1.2.18.3.3</t>
  </si>
  <si>
    <t>1.2.18.3.4</t>
  </si>
  <si>
    <t>1.2.18.3.5</t>
  </si>
  <si>
    <t>1.2.18.3.6</t>
  </si>
  <si>
    <t>1.2.18.3.7</t>
  </si>
  <si>
    <t>1.2.18.3.8</t>
  </si>
  <si>
    <t>1.2.18.4</t>
  </si>
  <si>
    <t>1.2.18.4.1</t>
  </si>
  <si>
    <t>1.2.18.4.2</t>
  </si>
  <si>
    <t>1.2.18.4.3</t>
  </si>
  <si>
    <t>1.2.18.4.4</t>
  </si>
  <si>
    <t>1.2.18.4.5</t>
  </si>
  <si>
    <t>1.2.18.4.6</t>
  </si>
  <si>
    <t>1.2.18.4.7</t>
  </si>
  <si>
    <t>1.2.18.4.8</t>
  </si>
  <si>
    <t>1.2.18.5</t>
  </si>
  <si>
    <t>1.2.18.5.1</t>
  </si>
  <si>
    <t>1.2.18.5.2</t>
  </si>
  <si>
    <t>1.2.18.5.3</t>
  </si>
  <si>
    <t>1.2.18.5.4</t>
  </si>
  <si>
    <t>1.2.18.5.5</t>
  </si>
  <si>
    <t>1.2.18.5.6</t>
  </si>
  <si>
    <t>1.2.18.5.7</t>
  </si>
  <si>
    <t>1.2.18.5.8</t>
  </si>
  <si>
    <t>1.2.18.6</t>
  </si>
  <si>
    <t>1.2.19</t>
  </si>
  <si>
    <t>ADMINISTRAÇÃO</t>
  </si>
  <si>
    <t>1.2.19.1</t>
  </si>
  <si>
    <t>1.2.19.1.1</t>
  </si>
  <si>
    <t>1.2.19.1.2</t>
  </si>
  <si>
    <t>1.2.19.1.3</t>
  </si>
  <si>
    <t>1.2.19.1.4</t>
  </si>
  <si>
    <t>1.2.19.1.5</t>
  </si>
  <si>
    <t>1.2.19.1.6</t>
  </si>
  <si>
    <t>1.2.19.1.7</t>
  </si>
  <si>
    <t>1.2.19.1.8</t>
  </si>
  <si>
    <t>1.2.19.2</t>
  </si>
  <si>
    <t>1.2.19.2.1</t>
  </si>
  <si>
    <t>1.2.19.2.2</t>
  </si>
  <si>
    <t>1.2.19.2.3</t>
  </si>
  <si>
    <t>1.2.19.2.4</t>
  </si>
  <si>
    <t>1.2.19.2.5</t>
  </si>
  <si>
    <t>1.2.19.2.6</t>
  </si>
  <si>
    <t>1.2.19.2.7</t>
  </si>
  <si>
    <t>1.2.19.2.8</t>
  </si>
  <si>
    <t>1.2.19.3</t>
  </si>
  <si>
    <t>1.2.19.3.1</t>
  </si>
  <si>
    <t>1.2.19.3.2</t>
  </si>
  <si>
    <t>1.2.19.3.3</t>
  </si>
  <si>
    <t>1.2.19.3.4</t>
  </si>
  <si>
    <t>1.2.19.3.5</t>
  </si>
  <si>
    <t>1.2.19.3.6</t>
  </si>
  <si>
    <t>1.2.19.3.7</t>
  </si>
  <si>
    <t>1.2.19.3.8</t>
  </si>
  <si>
    <t>1.2.19.4</t>
  </si>
  <si>
    <t>1.2.19.4.1</t>
  </si>
  <si>
    <t>1.2.19.4.2</t>
  </si>
  <si>
    <t>1.2.19.4.3</t>
  </si>
  <si>
    <t>1.2.19.4.4</t>
  </si>
  <si>
    <t>1.2.19.4.5</t>
  </si>
  <si>
    <t>1.2.19.4.6</t>
  </si>
  <si>
    <t>1.2.19.4.7</t>
  </si>
  <si>
    <t>1.2.19.4.8</t>
  </si>
  <si>
    <t>1.2.19.5</t>
  </si>
  <si>
    <t>1.2.19.5.1</t>
  </si>
  <si>
    <t>1.2.19.5.2</t>
  </si>
  <si>
    <t>1.2.19.5.3</t>
  </si>
  <si>
    <t>1.2.19.5.4</t>
  </si>
  <si>
    <t>1.2.19.5.5</t>
  </si>
  <si>
    <t>1.2.19.5.6</t>
  </si>
  <si>
    <t>1.2.19.5.7</t>
  </si>
  <si>
    <t>1.2.19.5.8</t>
  </si>
  <si>
    <t>1.2.19.6</t>
  </si>
  <si>
    <t>1.2.20</t>
  </si>
  <si>
    <t>LABORATÓRIOS</t>
  </si>
  <si>
    <t>1.2.20.1</t>
  </si>
  <si>
    <t>1.2.20.1.1</t>
  </si>
  <si>
    <t>1.2.20.1.2</t>
  </si>
  <si>
    <t>1.2.20.1.3</t>
  </si>
  <si>
    <t>1.2.20.1.4</t>
  </si>
  <si>
    <t>1.2.20.1.5</t>
  </si>
  <si>
    <t>1.2.20.1.6</t>
  </si>
  <si>
    <t>1.2.20.1.7</t>
  </si>
  <si>
    <t>1.2.20.1.8</t>
  </si>
  <si>
    <t>1.2.20.2</t>
  </si>
  <si>
    <t>1.2.20.2.1</t>
  </si>
  <si>
    <t>1.2.20.2.2</t>
  </si>
  <si>
    <t>1.2.20.2.3</t>
  </si>
  <si>
    <t>1.2.20.2.4</t>
  </si>
  <si>
    <t>1.2.20.2.5</t>
  </si>
  <si>
    <t>1.2.20.2.6</t>
  </si>
  <si>
    <t>1.2.20.2.7</t>
  </si>
  <si>
    <t>1.2.20.2.8</t>
  </si>
  <si>
    <t>1.2.20.3</t>
  </si>
  <si>
    <t>1.2.20.3.1</t>
  </si>
  <si>
    <t>1.2.20.3.2</t>
  </si>
  <si>
    <t>1.2.20.3.3</t>
  </si>
  <si>
    <t>1.2.20.3.4</t>
  </si>
  <si>
    <t>1.2.20.3.5</t>
  </si>
  <si>
    <t>1.2.20.3.6</t>
  </si>
  <si>
    <t>1.2.20.3.7</t>
  </si>
  <si>
    <t>1.2.20.3.8</t>
  </si>
  <si>
    <t>1.2.20.4</t>
  </si>
  <si>
    <t>1.2.20.4.1</t>
  </si>
  <si>
    <t>1.2.20.4.2</t>
  </si>
  <si>
    <t>1.2.20.4.3</t>
  </si>
  <si>
    <t>1.2.20.4.4</t>
  </si>
  <si>
    <t>1.2.20.4.5</t>
  </si>
  <si>
    <t>1.2.20.4.6</t>
  </si>
  <si>
    <t>1.2.20.4.7</t>
  </si>
  <si>
    <t>1.2.20.4.8</t>
  </si>
  <si>
    <t>1.2.20.5</t>
  </si>
  <si>
    <t>1.2.20.5.1</t>
  </si>
  <si>
    <t>1.2.20.5.2</t>
  </si>
  <si>
    <t>1.2.20.5.3</t>
  </si>
  <si>
    <t>1.2.20.5.4</t>
  </si>
  <si>
    <t>1.2.20.5.5</t>
  </si>
  <si>
    <t>1.2.20.5.6</t>
  </si>
  <si>
    <t>1.2.20.5.7</t>
  </si>
  <si>
    <t>1.2.20.5.8</t>
  </si>
  <si>
    <t>1.2.20.6</t>
  </si>
  <si>
    <t>1.2.21</t>
  </si>
  <si>
    <t>ESTAÇÃO DE TRATAMENTO DE EFLUENTES (ETE)</t>
  </si>
  <si>
    <t>1.2.21.1</t>
  </si>
  <si>
    <t>1.2.21.1.1</t>
  </si>
  <si>
    <t>1.2.21.1.2</t>
  </si>
  <si>
    <t>1.2.21.1.3</t>
  </si>
  <si>
    <t>1.2.21.1.4</t>
  </si>
  <si>
    <t>1.2.21.1.5</t>
  </si>
  <si>
    <t>1.2.21.1.6</t>
  </si>
  <si>
    <t>1.2.21.1.7</t>
  </si>
  <si>
    <t>1.2.21.1.8</t>
  </si>
  <si>
    <t>1.2.21.2</t>
  </si>
  <si>
    <t>1.2.21.2.1</t>
  </si>
  <si>
    <t>1.2.21.2.2</t>
  </si>
  <si>
    <t>1.2.21.2.3</t>
  </si>
  <si>
    <t>1.2.21.2.4</t>
  </si>
  <si>
    <t>1.2.21.2.5</t>
  </si>
  <si>
    <t>1.2.21.2.6</t>
  </si>
  <si>
    <t>1.2.21.2.7</t>
  </si>
  <si>
    <t>1.2.21.2.8</t>
  </si>
  <si>
    <t>1.2.21.3</t>
  </si>
  <si>
    <t>1.2.21.3.1</t>
  </si>
  <si>
    <t>1.2.21.3.2</t>
  </si>
  <si>
    <t>1.2.21.3.3</t>
  </si>
  <si>
    <t>1.2.21.3.4</t>
  </si>
  <si>
    <t>1.2.21.3.5</t>
  </si>
  <si>
    <t>1.2.21.3.6</t>
  </si>
  <si>
    <t>1.2.21.3.7</t>
  </si>
  <si>
    <t>1.2.21.3.8</t>
  </si>
  <si>
    <t>1.2.21.4</t>
  </si>
  <si>
    <t>1.2.21.4.1</t>
  </si>
  <si>
    <t>1.2.21.4.2</t>
  </si>
  <si>
    <t>1.2.21.4.3</t>
  </si>
  <si>
    <t>1.2.21.4.4</t>
  </si>
  <si>
    <t>1.2.21.4.5</t>
  </si>
  <si>
    <t>1.2.21.4.6</t>
  </si>
  <si>
    <t>1.2.21.4.7</t>
  </si>
  <si>
    <t>1.2.21.4.8</t>
  </si>
  <si>
    <t>1.2.21.5</t>
  </si>
  <si>
    <t>1.2.21.5.1</t>
  </si>
  <si>
    <t>1.2.21.5.2</t>
  </si>
  <si>
    <t>1.2.21.5.3</t>
  </si>
  <si>
    <t>1.2.21.5.4</t>
  </si>
  <si>
    <t>1.2.21.5.5</t>
  </si>
  <si>
    <t>1.2.21.5.6</t>
  </si>
  <si>
    <t>1.2.21.5.7</t>
  </si>
  <si>
    <t>1.2.21.5.8</t>
  </si>
  <si>
    <t>1.2.21.6</t>
  </si>
  <si>
    <t>GERAÇÃO DE ENERGIA</t>
  </si>
  <si>
    <t>1.2.11.6.1</t>
  </si>
  <si>
    <t>1.2.11.6.2</t>
  </si>
  <si>
    <t>1.2.11.6.3</t>
  </si>
  <si>
    <t>1.2.11.6.4</t>
  </si>
  <si>
    <t>1.2.11.6.5</t>
  </si>
  <si>
    <t>1.2.11.6.6</t>
  </si>
  <si>
    <t>1.2.11.6.7</t>
  </si>
  <si>
    <t>1.2.11.6.8</t>
  </si>
  <si>
    <t>1.2.21.6.1</t>
  </si>
  <si>
    <t>1.2.21.6.2</t>
  </si>
  <si>
    <t>1.2.21.6.3</t>
  </si>
  <si>
    <t>1.2.21.6.4</t>
  </si>
  <si>
    <t>1.2.21.6.5</t>
  </si>
  <si>
    <t>1.2.21.6.6</t>
  </si>
  <si>
    <t>1.2.21.6.7</t>
  </si>
  <si>
    <t>1.2.21.6.8</t>
  </si>
  <si>
    <t>1.2.12.6.1</t>
  </si>
  <si>
    <t>1.2.12.6.2</t>
  </si>
  <si>
    <t>1.2.12.6.3</t>
  </si>
  <si>
    <t>1.2.12.6.4</t>
  </si>
  <si>
    <t>1.2.12.6.5</t>
  </si>
  <si>
    <t>1.2.12.6.6</t>
  </si>
  <si>
    <t>1.2.12.6.7</t>
  </si>
  <si>
    <t>1.2.12.6.8</t>
  </si>
  <si>
    <t>1.2.13.6.1</t>
  </si>
  <si>
    <t>1.2.13.6.2</t>
  </si>
  <si>
    <t>1.2.13.6.3</t>
  </si>
  <si>
    <t>1.2.13.6.4</t>
  </si>
  <si>
    <t>1.2.13.6.5</t>
  </si>
  <si>
    <t>1.2.13.6.6</t>
  </si>
  <si>
    <t>1.2.13.6.7</t>
  </si>
  <si>
    <t>1.2.13.6.8</t>
  </si>
  <si>
    <t>1.2.14.6.1</t>
  </si>
  <si>
    <t>1.2.14.6.2</t>
  </si>
  <si>
    <t>1.2.14.6.3</t>
  </si>
  <si>
    <t>1.2.14.6.4</t>
  </si>
  <si>
    <t>1.2.14.6.5</t>
  </si>
  <si>
    <t>1.2.14.6.6</t>
  </si>
  <si>
    <t>1.2.14.6.7</t>
  </si>
  <si>
    <t>1.2.14.6.8</t>
  </si>
  <si>
    <t>1.2.15.6.1</t>
  </si>
  <si>
    <t>1.2.15.6.2</t>
  </si>
  <si>
    <t>1.2.15.6.3</t>
  </si>
  <si>
    <t>1.2.15.6.4</t>
  </si>
  <si>
    <t>1.2.15.6.5</t>
  </si>
  <si>
    <t>1.2.15.6.6</t>
  </si>
  <si>
    <t>1.2.15.6.7</t>
  </si>
  <si>
    <t>1.2.15.6.8</t>
  </si>
  <si>
    <t>1.2.16.6.1</t>
  </si>
  <si>
    <t>1.2.16.6.2</t>
  </si>
  <si>
    <t>1.2.16.6.3</t>
  </si>
  <si>
    <t>1.2.16.6.4</t>
  </si>
  <si>
    <t>1.2.16.6.5</t>
  </si>
  <si>
    <t>1.2.16.6.6</t>
  </si>
  <si>
    <t>1.2.16.6.7</t>
  </si>
  <si>
    <t>1.2.16.6.8</t>
  </si>
  <si>
    <t>1.2.17.6.1</t>
  </si>
  <si>
    <t>1.2.17.6.2</t>
  </si>
  <si>
    <t>1.2.17.6.3</t>
  </si>
  <si>
    <t>1.2.17.6.4</t>
  </si>
  <si>
    <t>1.2.17.6.5</t>
  </si>
  <si>
    <t>1.2.17.6.6</t>
  </si>
  <si>
    <t>1.2.17.6.7</t>
  </si>
  <si>
    <t>1.2.17.6.8</t>
  </si>
  <si>
    <t>1.2.18.6.1</t>
  </si>
  <si>
    <t>1.2.18.6.2</t>
  </si>
  <si>
    <t>1.2.18.6.3</t>
  </si>
  <si>
    <t>1.2.18.6.4</t>
  </si>
  <si>
    <t>1.2.18.6.5</t>
  </si>
  <si>
    <t>1.2.18.6.6</t>
  </si>
  <si>
    <t>1.2.18.6.7</t>
  </si>
  <si>
    <t>1.2.18.6.8</t>
  </si>
  <si>
    <t>1.2.19.6.1</t>
  </si>
  <si>
    <t>1.2.19.6.2</t>
  </si>
  <si>
    <t>1.2.19.6.3</t>
  </si>
  <si>
    <t>1.2.19.6.4</t>
  </si>
  <si>
    <t>1.2.19.6.5</t>
  </si>
  <si>
    <t>1.2.19.6.6</t>
  </si>
  <si>
    <t>1.2.19.6.7</t>
  </si>
  <si>
    <t>1.2.19.6.8</t>
  </si>
  <si>
    <t>1.2.20.6.1</t>
  </si>
  <si>
    <t>1.2.20.6.2</t>
  </si>
  <si>
    <t>1.2.20.6.3</t>
  </si>
  <si>
    <t>1.2.20.6.4</t>
  </si>
  <si>
    <t>1.2.20.6.5</t>
  </si>
  <si>
    <t>1.2.20.6.6</t>
  </si>
  <si>
    <t>1.2.20.6.7</t>
  </si>
  <si>
    <t>1.2.20.6.8</t>
  </si>
  <si>
    <t>1.2.22</t>
  </si>
  <si>
    <t>1.2.22.1</t>
  </si>
  <si>
    <t>1.2.22.1.1</t>
  </si>
  <si>
    <t>1.2.22.1.2</t>
  </si>
  <si>
    <t>1.2.22.1.3</t>
  </si>
  <si>
    <t>1.2.22.1.4</t>
  </si>
  <si>
    <t>1.2.22.1.5</t>
  </si>
  <si>
    <t>1.2.22.1.6</t>
  </si>
  <si>
    <t>1.2.22.1.7</t>
  </si>
  <si>
    <t>1.2.22.1.8</t>
  </si>
  <si>
    <t>1.2.22.2</t>
  </si>
  <si>
    <t>1.2.22.2.1</t>
  </si>
  <si>
    <t>1.2.22.2.2</t>
  </si>
  <si>
    <t>1.2.22.2.3</t>
  </si>
  <si>
    <t>1.2.22.2.4</t>
  </si>
  <si>
    <t>1.2.22.2.5</t>
  </si>
  <si>
    <t>1.2.22.2.6</t>
  </si>
  <si>
    <t>1.2.22.2.7</t>
  </si>
  <si>
    <t>1.2.22.2.8</t>
  </si>
  <si>
    <t>1.2.22.3</t>
  </si>
  <si>
    <t>1.2.22.3.1</t>
  </si>
  <si>
    <t>1.2.22.3.2</t>
  </si>
  <si>
    <t>1.2.22.3.3</t>
  </si>
  <si>
    <t>1.2.22.3.4</t>
  </si>
  <si>
    <t>1.2.22.3.5</t>
  </si>
  <si>
    <t>1.2.22.3.6</t>
  </si>
  <si>
    <t>1.2.22.3.7</t>
  </si>
  <si>
    <t>1.2.22.3.8</t>
  </si>
  <si>
    <t>1.2.22.4</t>
  </si>
  <si>
    <t>1.2.22.4.1</t>
  </si>
  <si>
    <t>1.2.22.4.2</t>
  </si>
  <si>
    <t>1.2.22.4.3</t>
  </si>
  <si>
    <t>1.2.22.4.4</t>
  </si>
  <si>
    <t>1.2.22.4.5</t>
  </si>
  <si>
    <t>1.2.22.4.6</t>
  </si>
  <si>
    <t>1.2.22.4.7</t>
  </si>
  <si>
    <t>1.2.22.4.8</t>
  </si>
  <si>
    <t>1.2.22.5</t>
  </si>
  <si>
    <t>1.2.22.5.1</t>
  </si>
  <si>
    <t>1.2.22.5.2</t>
  </si>
  <si>
    <t>1.2.22.5.3</t>
  </si>
  <si>
    <t>1.2.22.5.4</t>
  </si>
  <si>
    <t>1.2.22.5.5</t>
  </si>
  <si>
    <t>1.2.22.5.6</t>
  </si>
  <si>
    <t>1.2.22.5.7</t>
  </si>
  <si>
    <t>1.2.22.5.8</t>
  </si>
  <si>
    <t>1.2.22.6</t>
  </si>
  <si>
    <t>1.2.22.6.1</t>
  </si>
  <si>
    <t>1.2.22.6.2</t>
  </si>
  <si>
    <t>1.2.22.6.3</t>
  </si>
  <si>
    <t>1.2.22.6.4</t>
  </si>
  <si>
    <t>1.2.22.6.5</t>
  </si>
  <si>
    <t>1.2.22.6.6</t>
  </si>
  <si>
    <t>1.2.22.6.7</t>
  </si>
  <si>
    <t>1.2.22.6.8</t>
  </si>
  <si>
    <t>1.2.10.6.1</t>
  </si>
  <si>
    <t>1.2.10.6.2</t>
  </si>
  <si>
    <t>1.2.10.6.3</t>
  </si>
  <si>
    <t>1.2.10.6.4</t>
  </si>
  <si>
    <t>1.2.10.6.5</t>
  </si>
  <si>
    <t>1.2.10.6.6</t>
  </si>
  <si>
    <t>1.2.10.6.7</t>
  </si>
  <si>
    <t>1.2.10.6.8</t>
  </si>
  <si>
    <t>1.2.9.6.1</t>
  </si>
  <si>
    <t>1.2.9.6.2</t>
  </si>
  <si>
    <t>1.2.9.6.3</t>
  </si>
  <si>
    <t>1.2.9.6.4</t>
  </si>
  <si>
    <t>1.2.9.6.5</t>
  </si>
  <si>
    <t>1.2.9.6.6</t>
  </si>
  <si>
    <t>1.2.9.6.7</t>
  </si>
  <si>
    <t>1.2.9.6.8</t>
  </si>
  <si>
    <t>1.2.8.6.1</t>
  </si>
  <si>
    <t>1.2.8.6.2</t>
  </si>
  <si>
    <t>1.2.8.6.3</t>
  </si>
  <si>
    <t>1.2.8.6.4</t>
  </si>
  <si>
    <t>1.2.8.6.5</t>
  </si>
  <si>
    <t>1.2.8.6.6</t>
  </si>
  <si>
    <t>1.2.8.6.7</t>
  </si>
  <si>
    <t>1.2.8.6.8</t>
  </si>
  <si>
    <t>1.2.7.6.1</t>
  </si>
  <si>
    <t>1.2.7.6.2</t>
  </si>
  <si>
    <t>1.2.7.6.3</t>
  </si>
  <si>
    <t>1.2.7.6.4</t>
  </si>
  <si>
    <t>1.2.7.6.5</t>
  </si>
  <si>
    <t>1.2.7.6.6</t>
  </si>
  <si>
    <t>1.2.7.6.7</t>
  </si>
  <si>
    <t>1.2.7.6.8</t>
  </si>
  <si>
    <t>1.2.6.6.1</t>
  </si>
  <si>
    <t>1.2.6.6.2</t>
  </si>
  <si>
    <t>1.2.6.6.3</t>
  </si>
  <si>
    <t>1.2.6.6.4</t>
  </si>
  <si>
    <t>1.2.6.6.5</t>
  </si>
  <si>
    <t>1.2.6.6.6</t>
  </si>
  <si>
    <t>1.2.6.6.7</t>
  </si>
  <si>
    <t>1.2.6.6.8</t>
  </si>
  <si>
    <t>1.2.5.6.1</t>
  </si>
  <si>
    <t>1.2.5.6.2</t>
  </si>
  <si>
    <t>1.2.5.6.3</t>
  </si>
  <si>
    <t>1.2.5.6.4</t>
  </si>
  <si>
    <t>1.2.5.6.5</t>
  </si>
  <si>
    <t>1.2.5.6.6</t>
  </si>
  <si>
    <t>1.2.5.6.7</t>
  </si>
  <si>
    <t>1.2.5.6.8</t>
  </si>
  <si>
    <t>1.2.4.6.1</t>
  </si>
  <si>
    <t>1.2.4.6.2</t>
  </si>
  <si>
    <t>1.2.4.6.3</t>
  </si>
  <si>
    <t>1.2.4.6.4</t>
  </si>
  <si>
    <t>1.2.4.6.5</t>
  </si>
  <si>
    <t>1.2.4.6.6</t>
  </si>
  <si>
    <t>1.2.4.6.7</t>
  </si>
  <si>
    <t>1.2.4.6.8</t>
  </si>
  <si>
    <t>1.2.3.6.1</t>
  </si>
  <si>
    <t>1.2.3.6.2</t>
  </si>
  <si>
    <t>1.2.3.6.3</t>
  </si>
  <si>
    <t>1.2.3.6.4</t>
  </si>
  <si>
    <t>1.2.3.6.5</t>
  </si>
  <si>
    <t>1.2.3.6.6</t>
  </si>
  <si>
    <t>1.2.3.6.7</t>
  </si>
  <si>
    <t>1.2.3.6.8</t>
  </si>
  <si>
    <t>1.2.2.6.1</t>
  </si>
  <si>
    <t>1.2.2.6.2</t>
  </si>
  <si>
    <t>1.2.2.6.3</t>
  </si>
  <si>
    <t>1.2.2.6.4</t>
  </si>
  <si>
    <t>1.2.2.6.5</t>
  </si>
  <si>
    <t>1.2.2.6.6</t>
  </si>
  <si>
    <t>1.2.2.6.7</t>
  </si>
  <si>
    <t>1.2.2.6.8</t>
  </si>
  <si>
    <t>1.2.6.1.9</t>
  </si>
  <si>
    <t>1.2.6.1.10</t>
  </si>
  <si>
    <t>1.2.6.1.11</t>
  </si>
  <si>
    <t>1.2.6.1.12</t>
  </si>
  <si>
    <t>1.2.6.1.13</t>
  </si>
  <si>
    <t>1.2.6.1.14</t>
  </si>
  <si>
    <t>1.2.6.1.15</t>
  </si>
  <si>
    <t>1.2.6.2.9</t>
  </si>
  <si>
    <t>1.2.7.1.9</t>
  </si>
  <si>
    <t>1.2.7.1.10</t>
  </si>
  <si>
    <t>1.2.7.1.11</t>
  </si>
  <si>
    <t>1.2.14.1.9</t>
  </si>
  <si>
    <t>1.2.14.1.10</t>
  </si>
  <si>
    <t>1.2.14.1.11</t>
  </si>
  <si>
    <t>1.2.14.1.12</t>
  </si>
  <si>
    <t>1.2.14.1.13</t>
  </si>
  <si>
    <t>1.2.14.1.14</t>
  </si>
  <si>
    <t>1.2.14.1.15</t>
  </si>
  <si>
    <t>1.2.14.1.16</t>
  </si>
  <si>
    <t>1.2.14.1.17</t>
  </si>
  <si>
    <t>1.2.14.1.18</t>
  </si>
  <si>
    <t>1.2.14.1.19</t>
  </si>
  <si>
    <t>1.2.14.1.20</t>
  </si>
  <si>
    <t>1.2.14.1.21</t>
  </si>
  <si>
    <t>1.2.14.1.22</t>
  </si>
  <si>
    <t>1.2.14.1.23</t>
  </si>
  <si>
    <t>1.2.14.1.24</t>
  </si>
  <si>
    <t>1.2.14.1.25</t>
  </si>
  <si>
    <t>1.2.14.1.26</t>
  </si>
  <si>
    <t>1.2.14.1.27</t>
  </si>
  <si>
    <t>1.2.14.1.28</t>
  </si>
  <si>
    <t>1.2.14.1.29</t>
  </si>
  <si>
    <t>1.2.14.1.30</t>
  </si>
  <si>
    <t>1.2.14.1.31</t>
  </si>
  <si>
    <t>1.2.14.1.32</t>
  </si>
  <si>
    <t>1.2.14.1.33</t>
  </si>
  <si>
    <t>1.2.14.1.34</t>
  </si>
  <si>
    <t>1.2.14.1.35</t>
  </si>
  <si>
    <t>1.2.14.1.36</t>
  </si>
  <si>
    <t>1.2.14.1.37</t>
  </si>
  <si>
    <t>1.2.14.5.9</t>
  </si>
  <si>
    <t>1.2.14.5.10</t>
  </si>
  <si>
    <t>1.2.14.5.11</t>
  </si>
  <si>
    <t>1.2.14.5.12</t>
  </si>
  <si>
    <t>1.2.20.1.9</t>
  </si>
  <si>
    <t>1.2.20.1.10</t>
  </si>
  <si>
    <t>1.2.20.1.11</t>
  </si>
  <si>
    <t>1.2.20.1.12</t>
  </si>
  <si>
    <t>1.2.20.1.13</t>
  </si>
  <si>
    <t>1.2.22.1.9</t>
  </si>
  <si>
    <t>1.2.22.1.10</t>
  </si>
  <si>
    <t>1.2.22.1.11</t>
  </si>
  <si>
    <t>1.2.22.1.12</t>
  </si>
  <si>
    <t>1.2.22.1.13</t>
  </si>
  <si>
    <t>1.2.22.1.14</t>
  </si>
  <si>
    <t>1.2.22.1.15</t>
  </si>
  <si>
    <t>Caixas de drenagem</t>
  </si>
  <si>
    <t>Gerente responsável</t>
  </si>
  <si>
    <t>Supervisor responsável</t>
  </si>
  <si>
    <t>LEGENDA:</t>
  </si>
  <si>
    <t>PREENCHIMENTO MANUAL</t>
  </si>
  <si>
    <t>PREENCHIMENTO MANUAL ÚNICO (1x)</t>
  </si>
  <si>
    <t>FÓRMULA AUTOMÁTICA</t>
  </si>
  <si>
    <t>CÓDIGO DA EAP</t>
  </si>
  <si>
    <t>Cód. EAP</t>
  </si>
  <si>
    <t>Almoxarifado e Depósito de Produtos Químicos</t>
  </si>
  <si>
    <t>TOTAL ILHAS</t>
  </si>
  <si>
    <t>Cód. do Processo - Engenharia</t>
  </si>
  <si>
    <t>Desvio
(dias)</t>
  </si>
  <si>
    <t>Bombas instaladas</t>
  </si>
  <si>
    <t>Qtde de replans</t>
  </si>
  <si>
    <t>Previsto (LB)</t>
  </si>
  <si>
    <t>LINHA DE BASE (LB)</t>
  </si>
  <si>
    <t>RONDONÓPOLIS/MT</t>
  </si>
  <si>
    <t>MAM_CHECKLIST_SCA_RND-V02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</si>
</sst>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name val="Montserrat"/>
    </font>
    <font>
      <b/>
      <sz val="8"/>
      <name val="Montserrat"/>
    </font>
    <font>
      <b/>
      <sz val="8"/>
      <color theme="3"/>
      <name val="Montserrat"/>
    </font>
    <font>
      <sz val="8"/>
      <color theme="1"/>
      <name val="Montserrat"/>
    </font>
    <font>
      <b/>
      <sz val="8"/>
      <color theme="0"/>
      <name val="Montserrat"/>
    </font>
    <font>
      <sz val="11"/>
      <color theme="1"/>
      <name val="Aptos Narrow"/>
      <family val="2"/>
      <scheme val="minor"/>
    </font>
    <font>
      <i/>
      <sz val="8"/>
      <name val="Montserrat"/>
    </font>
    <font>
      <b/>
      <sz val="8"/>
      <color theme="4"/>
      <name val="Montserrat"/>
    </font>
    <font>
      <sz val="9"/>
      <color rgb="FF363636"/>
      <name val="Segoe UI"/>
      <family val="2"/>
    </font>
    <font>
      <b/>
      <sz val="14"/>
      <color theme="3"/>
      <name val="Calibri"/>
      <family val="2"/>
    </font>
    <font>
      <b/>
      <sz val="11"/>
      <color theme="4"/>
      <name val="Calibri"/>
      <family val="2"/>
    </font>
    <font>
      <b/>
      <sz val="11"/>
      <color theme="3"/>
      <name val="Calibri"/>
      <family val="2"/>
    </font>
    <font>
      <sz val="11"/>
      <color theme="3"/>
      <name val="Calibri"/>
      <family val="2"/>
    </font>
    <font>
      <sz val="8"/>
      <color theme="0"/>
      <name val="Montserrat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FE3E8"/>
        <bgColor indexed="64"/>
      </patternFill>
    </fill>
    <fill>
      <patternFill patternType="solid">
        <fgColor rgb="FF9CC3E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-0.499984740745262"/>
        <bgColor indexed="64"/>
      </patternFill>
    </fill>
  </fills>
  <borders count="30">
    <border>
      <left/>
      <right/>
      <top/>
      <bottom/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 style="thin">
        <color theme="5"/>
      </top>
      <bottom style="thin">
        <color theme="5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 style="thin">
        <color theme="5"/>
      </top>
      <bottom style="thin">
        <color theme="3"/>
      </bottom>
      <diagonal/>
    </border>
    <border>
      <left/>
      <right style="thin">
        <color theme="3"/>
      </right>
      <top style="thin">
        <color theme="5"/>
      </top>
      <bottom style="thin">
        <color theme="3"/>
      </bottom>
      <diagonal/>
    </border>
    <border>
      <left/>
      <right/>
      <top style="thin">
        <color theme="3"/>
      </top>
      <bottom style="thin">
        <color theme="5"/>
      </bottom>
      <diagonal/>
    </border>
    <border>
      <left/>
      <right style="thin">
        <color theme="3"/>
      </right>
      <top style="thin">
        <color theme="3"/>
      </top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/>
      <right style="thin">
        <color theme="3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theme="3"/>
      </left>
      <right/>
      <top style="thin">
        <color theme="5"/>
      </top>
      <bottom style="thin">
        <color theme="5"/>
      </bottom>
      <diagonal/>
    </border>
    <border>
      <left style="thin">
        <color theme="3"/>
      </left>
      <right/>
      <top style="thin">
        <color theme="5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5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/>
      </left>
      <right/>
      <top style="thin">
        <color theme="5" tint="0.39994506668294322"/>
      </top>
      <bottom style="thin">
        <color theme="5" tint="0.39994506668294322"/>
      </bottom>
      <diagonal/>
    </border>
    <border>
      <left/>
      <right style="thin">
        <color theme="3"/>
      </right>
      <top style="thin">
        <color theme="5" tint="0.39994506668294322"/>
      </top>
      <bottom style="thin">
        <color theme="5" tint="0.39994506668294322"/>
      </bottom>
      <diagonal/>
    </border>
    <border>
      <left/>
      <right/>
      <top style="thin">
        <color theme="3"/>
      </top>
      <bottom/>
      <diagonal/>
    </border>
    <border>
      <left/>
      <right/>
      <top style="thin">
        <color theme="5" tint="0.39994506668294322"/>
      </top>
      <bottom style="thin">
        <color theme="5" tint="0.39994506668294322"/>
      </bottom>
      <diagonal/>
    </border>
    <border>
      <left/>
      <right/>
      <top/>
      <bottom style="thin">
        <color theme="3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24">
    <xf numFmtId="0" fontId="0" fillId="0" borderId="0" xfId="0"/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1" fontId="2" fillId="0" borderId="0" xfId="0" applyNumberFormat="1" applyFont="1" applyAlignment="1" applyProtection="1">
      <alignment horizontal="center" vertical="center"/>
      <protection locked="0"/>
    </xf>
    <xf numFmtId="14" fontId="2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0" borderId="0" xfId="0" applyFont="1"/>
    <xf numFmtId="0" fontId="6" fillId="3" borderId="15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Continuous" vertical="center"/>
    </xf>
    <xf numFmtId="0" fontId="6" fillId="3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2" fillId="2" borderId="4" xfId="0" applyFont="1" applyFill="1" applyBorder="1" applyAlignment="1">
      <alignment horizontal="left" vertical="center" wrapText="1"/>
    </xf>
    <xf numFmtId="0" fontId="2" fillId="5" borderId="11" xfId="0" applyFont="1" applyFill="1" applyBorder="1" applyAlignment="1" applyProtection="1">
      <alignment horizontal="center" vertical="center"/>
      <protection locked="0"/>
    </xf>
    <xf numFmtId="14" fontId="2" fillId="5" borderId="10" xfId="0" applyNumberFormat="1" applyFont="1" applyFill="1" applyBorder="1" applyAlignment="1" applyProtection="1">
      <alignment horizontal="left" vertical="center"/>
      <protection locked="0"/>
    </xf>
    <xf numFmtId="0" fontId="2" fillId="6" borderId="18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8" borderId="19" xfId="0" applyFont="1" applyFill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9" borderId="19" xfId="0" applyFont="1" applyFill="1" applyBorder="1" applyAlignment="1">
      <alignment horizontal="left" vertical="center"/>
    </xf>
    <xf numFmtId="0" fontId="2" fillId="10" borderId="19" xfId="0" applyFont="1" applyFill="1" applyBorder="1" applyAlignment="1">
      <alignment horizontal="left" vertical="center"/>
    </xf>
    <xf numFmtId="0" fontId="2" fillId="11" borderId="19" xfId="0" applyFont="1" applyFill="1" applyBorder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6" borderId="18" xfId="0" applyFont="1" applyFill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7" borderId="2" xfId="0" applyFont="1" applyFill="1" applyBorder="1" applyAlignment="1">
      <alignment horizontal="left" vertical="center"/>
    </xf>
    <xf numFmtId="0" fontId="4" fillId="7" borderId="20" xfId="0" applyFont="1" applyFill="1" applyBorder="1" applyAlignment="1" applyProtection="1">
      <alignment horizontal="left" vertical="center"/>
      <protection locked="0"/>
    </xf>
    <xf numFmtId="0" fontId="6" fillId="3" borderId="21" xfId="0" applyFont="1" applyFill="1" applyBorder="1" applyAlignment="1" applyProtection="1">
      <alignment horizontal="left" vertical="center"/>
      <protection locked="0"/>
    </xf>
    <xf numFmtId="0" fontId="4" fillId="7" borderId="22" xfId="0" applyFont="1" applyFill="1" applyBorder="1" applyAlignment="1" applyProtection="1">
      <alignment horizontal="left" vertical="center"/>
      <protection locked="0"/>
    </xf>
    <xf numFmtId="0" fontId="4" fillId="7" borderId="21" xfId="0" applyFont="1" applyFill="1" applyBorder="1" applyAlignment="1" applyProtection="1">
      <alignment horizontal="left" vertical="center"/>
      <protection locked="0"/>
    </xf>
    <xf numFmtId="0" fontId="4" fillId="13" borderId="20" xfId="0" applyFont="1" applyFill="1" applyBorder="1" applyAlignment="1" applyProtection="1">
      <alignment horizontal="left" vertical="center"/>
      <protection locked="0"/>
    </xf>
    <xf numFmtId="0" fontId="4" fillId="13" borderId="22" xfId="0" applyFont="1" applyFill="1" applyBorder="1" applyAlignment="1" applyProtection="1">
      <alignment horizontal="left" vertical="center"/>
      <protection locked="0"/>
    </xf>
    <xf numFmtId="0" fontId="4" fillId="7" borderId="20" xfId="0" applyFont="1" applyFill="1" applyBorder="1" applyAlignment="1" applyProtection="1">
      <alignment horizontal="left" vertical="center" indent="3"/>
      <protection locked="0"/>
    </xf>
    <xf numFmtId="0" fontId="6" fillId="12" borderId="15" xfId="0" applyFont="1" applyFill="1" applyBorder="1" applyAlignment="1">
      <alignment horizontal="center" vertical="center" wrapText="1"/>
    </xf>
    <xf numFmtId="0" fontId="2" fillId="4" borderId="0" xfId="0" applyFont="1" applyFill="1"/>
    <xf numFmtId="0" fontId="2" fillId="7" borderId="16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vertical="center"/>
    </xf>
    <xf numFmtId="0" fontId="10" fillId="8" borderId="19" xfId="0" applyFont="1" applyFill="1" applyBorder="1" applyAlignment="1">
      <alignment horizontal="center" vertical="center" wrapText="1"/>
    </xf>
    <xf numFmtId="14" fontId="10" fillId="8" borderId="19" xfId="0" applyNumberFormat="1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vertical="center"/>
    </xf>
    <xf numFmtId="164" fontId="11" fillId="6" borderId="19" xfId="1" applyNumberFormat="1" applyFont="1" applyFill="1" applyBorder="1" applyAlignment="1">
      <alignment horizontal="center" vertical="center"/>
    </xf>
    <xf numFmtId="14" fontId="11" fillId="6" borderId="19" xfId="0" applyNumberFormat="1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left" vertical="center" indent="1"/>
    </xf>
    <xf numFmtId="164" fontId="12" fillId="3" borderId="19" xfId="1" applyNumberFormat="1" applyFont="1" applyFill="1" applyBorder="1" applyAlignment="1">
      <alignment horizontal="center" vertical="center"/>
    </xf>
    <xf numFmtId="14" fontId="12" fillId="3" borderId="19" xfId="0" applyNumberFormat="1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left" vertical="center"/>
    </xf>
    <xf numFmtId="0" fontId="13" fillId="14" borderId="19" xfId="0" applyFont="1" applyFill="1" applyBorder="1" applyAlignment="1">
      <alignment horizontal="center" vertical="center"/>
    </xf>
    <xf numFmtId="0" fontId="13" fillId="14" borderId="19" xfId="0" applyFont="1" applyFill="1" applyBorder="1" applyAlignment="1">
      <alignment horizontal="left" vertical="center" indent="1"/>
    </xf>
    <xf numFmtId="164" fontId="13" fillId="14" borderId="19" xfId="1" applyNumberFormat="1" applyFont="1" applyFill="1" applyBorder="1" applyAlignment="1">
      <alignment horizontal="center" vertical="center"/>
    </xf>
    <xf numFmtId="14" fontId="13" fillId="14" borderId="19" xfId="0" applyNumberFormat="1" applyFont="1" applyFill="1" applyBorder="1" applyAlignment="1">
      <alignment horizontal="center" vertical="center"/>
    </xf>
    <xf numFmtId="0" fontId="13" fillId="14" borderId="19" xfId="0" applyFont="1" applyFill="1" applyBorder="1" applyAlignment="1">
      <alignment horizontal="left" vertical="center"/>
    </xf>
    <xf numFmtId="14" fontId="13" fillId="14" borderId="19" xfId="0" applyNumberFormat="1" applyFont="1" applyFill="1" applyBorder="1" applyAlignment="1">
      <alignment horizontal="center" vertical="center" wrapText="1"/>
    </xf>
    <xf numFmtId="0" fontId="13" fillId="14" borderId="19" xfId="0" applyFont="1" applyFill="1" applyBorder="1" applyAlignment="1">
      <alignment horizontal="left" vertical="center" wrapText="1" indent="1"/>
    </xf>
    <xf numFmtId="0" fontId="14" fillId="7" borderId="19" xfId="0" applyFont="1" applyFill="1" applyBorder="1" applyAlignment="1">
      <alignment horizontal="center" vertical="center"/>
    </xf>
    <xf numFmtId="0" fontId="14" fillId="7" borderId="19" xfId="0" applyFont="1" applyFill="1" applyBorder="1" applyAlignment="1">
      <alignment horizontal="left" vertical="center" wrapText="1" indent="2"/>
    </xf>
    <xf numFmtId="14" fontId="14" fillId="7" borderId="19" xfId="0" applyNumberFormat="1" applyFont="1" applyFill="1" applyBorder="1" applyAlignment="1">
      <alignment horizontal="center" vertical="center" wrapText="1"/>
    </xf>
    <xf numFmtId="0" fontId="14" fillId="7" borderId="19" xfId="0" applyFont="1" applyFill="1" applyBorder="1" applyAlignment="1">
      <alignment horizontal="left" vertical="center"/>
    </xf>
    <xf numFmtId="0" fontId="14" fillId="15" borderId="19" xfId="0" applyFont="1" applyFill="1" applyBorder="1" applyAlignment="1">
      <alignment horizontal="center" vertical="center" wrapText="1"/>
    </xf>
    <xf numFmtId="0" fontId="14" fillId="15" borderId="19" xfId="0" applyFont="1" applyFill="1" applyBorder="1" applyAlignment="1">
      <alignment horizontal="left" vertical="center" indent="3"/>
    </xf>
    <xf numFmtId="0" fontId="14" fillId="15" borderId="19" xfId="0" applyFont="1" applyFill="1" applyBorder="1" applyAlignment="1">
      <alignment horizontal="center" vertical="center"/>
    </xf>
    <xf numFmtId="14" fontId="14" fillId="15" borderId="19" xfId="0" applyNumberFormat="1" applyFont="1" applyFill="1" applyBorder="1" applyAlignment="1">
      <alignment horizontal="center" vertical="center" wrapText="1"/>
    </xf>
    <xf numFmtId="0" fontId="14" fillId="15" borderId="19" xfId="0" applyFont="1" applyFill="1" applyBorder="1" applyAlignment="1">
      <alignment horizontal="left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3" fillId="14" borderId="19" xfId="0" applyNumberFormat="1" applyFont="1" applyFill="1" applyBorder="1" applyAlignment="1">
      <alignment horizontal="center" vertical="center"/>
    </xf>
    <xf numFmtId="164" fontId="14" fillId="7" borderId="19" xfId="0" applyNumberFormat="1" applyFont="1" applyFill="1" applyBorder="1" applyAlignment="1">
      <alignment horizontal="center" vertical="center"/>
    </xf>
    <xf numFmtId="164" fontId="14" fillId="15" borderId="19" xfId="0" applyNumberFormat="1" applyFont="1" applyFill="1" applyBorder="1" applyAlignment="1">
      <alignment horizontal="center" vertical="center"/>
    </xf>
    <xf numFmtId="14" fontId="13" fillId="5" borderId="19" xfId="0" applyNumberFormat="1" applyFont="1" applyFill="1" applyBorder="1" applyAlignment="1">
      <alignment horizontal="center" vertical="center" wrapText="1"/>
    </xf>
    <xf numFmtId="0" fontId="4" fillId="13" borderId="13" xfId="0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9" fontId="6" fillId="3" borderId="11" xfId="1" applyFont="1" applyFill="1" applyBorder="1" applyAlignment="1" applyProtection="1">
      <alignment horizontal="center" vertical="center"/>
    </xf>
    <xf numFmtId="0" fontId="2" fillId="0" borderId="23" xfId="0" applyFont="1" applyBorder="1" applyAlignment="1" applyProtection="1">
      <alignment vertical="center"/>
      <protection locked="0"/>
    </xf>
    <xf numFmtId="0" fontId="6" fillId="12" borderId="17" xfId="0" applyFont="1" applyFill="1" applyBorder="1" applyAlignment="1" applyProtection="1">
      <alignment vertical="center"/>
      <protection locked="0"/>
    </xf>
    <xf numFmtId="0" fontId="6" fillId="16" borderId="17" xfId="0" applyFont="1" applyFill="1" applyBorder="1" applyAlignment="1" applyProtection="1">
      <alignment vertical="center"/>
      <protection locked="0"/>
    </xf>
    <xf numFmtId="0" fontId="2" fillId="0" borderId="25" xfId="0" applyFont="1" applyBorder="1" applyAlignment="1" applyProtection="1">
      <alignment vertical="center"/>
      <protection locked="0"/>
    </xf>
    <xf numFmtId="0" fontId="2" fillId="0" borderId="26" xfId="0" applyFont="1" applyBorder="1" applyAlignment="1" applyProtection="1">
      <alignment vertical="center"/>
      <protection locked="0"/>
    </xf>
    <xf numFmtId="0" fontId="2" fillId="7" borderId="17" xfId="0" applyFont="1" applyFill="1" applyBorder="1" applyAlignment="1" applyProtection="1">
      <alignment vertical="center"/>
      <protection locked="0"/>
    </xf>
    <xf numFmtId="0" fontId="2" fillId="5" borderId="24" xfId="0" applyFont="1" applyFill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14" fontId="2" fillId="0" borderId="2" xfId="0" applyNumberFormat="1" applyFont="1" applyBorder="1" applyAlignment="1">
      <alignment horizontal="center" vertical="center"/>
    </xf>
    <xf numFmtId="0" fontId="2" fillId="5" borderId="9" xfId="0" applyFont="1" applyFill="1" applyBorder="1" applyAlignment="1" applyProtection="1">
      <alignment vertical="center"/>
      <protection locked="0"/>
    </xf>
    <xf numFmtId="0" fontId="15" fillId="16" borderId="7" xfId="0" applyFont="1" applyFill="1" applyBorder="1" applyAlignment="1" applyProtection="1">
      <alignment vertical="center"/>
      <protection locked="0"/>
    </xf>
    <xf numFmtId="0" fontId="15" fillId="12" borderId="7" xfId="0" applyFont="1" applyFill="1" applyBorder="1" applyAlignment="1" applyProtection="1">
      <alignment vertical="center"/>
      <protection locked="0"/>
    </xf>
    <xf numFmtId="0" fontId="2" fillId="5" borderId="2" xfId="0" applyFont="1" applyFill="1" applyBorder="1" applyAlignment="1">
      <alignment horizontal="center" vertical="center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 applyProtection="1">
      <alignment vertical="center"/>
      <protection locked="0"/>
    </xf>
    <xf numFmtId="14" fontId="2" fillId="5" borderId="2" xfId="0" applyNumberFormat="1" applyFont="1" applyFill="1" applyBorder="1" applyAlignment="1">
      <alignment horizontal="center" vertical="center"/>
    </xf>
    <xf numFmtId="0" fontId="6" fillId="12" borderId="0" xfId="0" applyFont="1" applyFill="1" applyAlignment="1" applyProtection="1">
      <alignment vertical="center"/>
      <protection locked="0"/>
    </xf>
    <xf numFmtId="0" fontId="6" fillId="16" borderId="0" xfId="0" applyFont="1" applyFill="1" applyAlignment="1" applyProtection="1">
      <alignment vertical="center"/>
      <protection locked="0"/>
    </xf>
    <xf numFmtId="0" fontId="2" fillId="7" borderId="0" xfId="0" applyFont="1" applyFill="1" applyAlignment="1" applyProtection="1">
      <alignment vertical="center"/>
      <protection locked="0"/>
    </xf>
    <xf numFmtId="0" fontId="2" fillId="0" borderId="27" xfId="0" applyFont="1" applyBorder="1" applyAlignment="1" applyProtection="1">
      <alignment vertical="center"/>
      <protection locked="0"/>
    </xf>
    <xf numFmtId="0" fontId="2" fillId="0" borderId="28" xfId="0" applyFont="1" applyBorder="1" applyAlignment="1" applyProtection="1">
      <alignment vertical="center"/>
      <protection locked="0"/>
    </xf>
    <xf numFmtId="0" fontId="2" fillId="5" borderId="29" xfId="0" applyFont="1" applyFill="1" applyBorder="1" applyAlignment="1" applyProtection="1">
      <alignment vertical="center"/>
      <protection locked="0"/>
    </xf>
    <xf numFmtId="1" fontId="2" fillId="5" borderId="16" xfId="0" applyNumberFormat="1" applyFont="1" applyFill="1" applyBorder="1" applyAlignment="1">
      <alignment horizontal="center" vertical="center"/>
    </xf>
    <xf numFmtId="0" fontId="9" fillId="3" borderId="6" xfId="0" applyFont="1" applyFill="1" applyBorder="1" applyAlignment="1" applyProtection="1">
      <alignment horizontal="center" vertical="center" wrapText="1"/>
      <protection locked="0"/>
    </xf>
    <xf numFmtId="0" fontId="9" fillId="3" borderId="7" xfId="0" applyFont="1" applyFill="1" applyBorder="1" applyAlignment="1" applyProtection="1">
      <alignment horizontal="center" vertical="center" wrapText="1"/>
      <protection locked="0"/>
    </xf>
    <xf numFmtId="0" fontId="9" fillId="3" borderId="9" xfId="0" applyFont="1" applyFill="1" applyBorder="1" applyAlignment="1" applyProtection="1">
      <alignment horizontal="center" vertical="center" wrapText="1"/>
      <protection locked="0"/>
    </xf>
    <xf numFmtId="0" fontId="9" fillId="3" borderId="17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25"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5"/>
        </left>
        <right/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21" formatCode="dd/m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19" formatCode="dd/mm/yyyy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5"/>
        </right>
        <top style="thin">
          <color theme="5"/>
        </top>
        <bottom/>
        <vertical/>
        <horizontal/>
      </border>
    </dxf>
    <dxf>
      <border>
        <top style="thin">
          <color theme="5"/>
        </top>
      </border>
    </dxf>
    <dxf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</dxf>
    <dxf>
      <border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Montserrat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/>
        </left>
        <right style="thin">
          <color theme="5"/>
        </right>
        <top/>
        <bottom/>
        <vertical style="thin">
          <color theme="5"/>
        </vertical>
        <horizontal style="thin">
          <color theme="5"/>
        </horizontal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112058</xdr:colOff>
      <xdr:row>4</xdr:row>
      <xdr:rowOff>81778</xdr:rowOff>
    </xdr:from>
    <xdr:to>
      <xdr:col>1</xdr:col>
      <xdr:colOff>660400</xdr:colOff>
      <xdr:row>7</xdr:row>
      <xdr:rowOff>10965</xdr:rowOff>
    </xdr:to>
    <xdr:pic>
      <xdr:nvPicPr>
        <xdr:cNvPr id="7" name="Picture 5" descr="Programa de Estágio Inpasa">
          <a:extLst>
            <a:ext uri="{FF2B5EF4-FFF2-40B4-BE49-F238E27FC236}">
              <a16:creationId xmlns:a16="http://schemas.microsoft.com/office/drawing/2014/main" id="{EF0CAEFE-DEC1-4E67-8BDA-C6C3F881C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8" y="716778"/>
          <a:ext cx="1418292" cy="405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237718</xdr:colOff>
      <xdr:row>1</xdr:row>
      <xdr:rowOff>52295</xdr:rowOff>
    </xdr:from>
    <xdr:to>
      <xdr:col>1</xdr:col>
      <xdr:colOff>552444</xdr:colOff>
      <xdr:row>3</xdr:row>
      <xdr:rowOff>116130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E18EDDB-D818-415A-B9BA-75C330281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718" y="209177"/>
          <a:ext cx="1186917" cy="3776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B2E328-1EFC-4E58-B2EF-DB26AB1A4D64}" name="Tabela1" displayName="Tabela1" ref="A9:T287" totalsRowShown="0" headerRowDxfId="24" dataDxfId="22" headerRowBorderDxfId="23" tableBorderDxfId="21" totalsRowBorderDxfId="20">
  <autoFilter ref="A9:T287" xr:uid="{30B2E328-1EFC-4E58-B2EF-DB26AB1A4D64}"/>
  <tableColumns count="20">
    <tableColumn id="1" xr3:uid="{C95EDDE4-7230-47FF-A862-ADBE2A8025DA}" name="Cód. do Processo - Engenharia" dataDxfId="19">
      <calculatedColumnFormula>_xlfn.XLOOKUP("*"&amp;Tabela1[[#This Row],[Processo]]&amp;"*",'Árvore de Localização'!$H:$H,'Árvore de Localização'!$G:$G,"0000",2)</calculatedColumnFormula>
    </tableColumn>
    <tableColumn id="2" xr3:uid="{510A4F34-385B-4F18-B44C-C8A01331894D}" name="Macro área" dataDxfId="18">
      <calculatedColumnFormula>_xlfn.XLOOKUP(Tabela1[[#This Row],[Processo]],'Árvore de Localização'!$D:$D,'Árvore de Localização'!$B:$B,"",0,1)</calculatedColumnFormula>
    </tableColumn>
    <tableColumn id="17" xr3:uid="{F9526424-8489-469A-875A-754B939FCBB7}" name="Ilha de Processo" dataDxfId="17">
      <calculatedColumnFormula>_xlfn.XLOOKUP(Tabela1[[#This Row],[Processo]],'Árvore de Localização'!$D:$D,'Árvore de Localização'!$C:$C,"",0,1)</calculatedColumnFormula>
    </tableColumn>
    <tableColumn id="11" xr3:uid="{43885DA6-4CE2-4238-8C41-6576CD846EDA}" name="Processo" dataDxfId="16"/>
    <tableColumn id="10" xr3:uid="{053AA8E2-9C1D-4082-B597-E0119C05EE83}" name="Área Descrição MAM" dataDxfId="15"/>
    <tableColumn id="3" xr3:uid="{79D80C8E-6906-4B3C-807E-05BA890BC0A2}" name="Fase" dataDxfId="14"/>
    <tableColumn id="4" xr3:uid="{ACDAF176-1346-47FA-9A75-0C728E41978D}" name="Prazo p/ vistoria" dataDxfId="13"/>
    <tableColumn id="5" xr3:uid="{3AC1A6C1-922C-4655-8181-F2FFB1949558}" name="Previsto (LB)" dataDxfId="12"/>
    <tableColumn id="6" xr3:uid="{1DB6BCA8-540A-4E3F-9BB0-37D9DFA7835D}" name="Replan" dataDxfId="11"/>
    <tableColumn id="7" xr3:uid="{58F2244B-B2F0-4BEF-8025-4902C3270DBD}" name="Qtde de replans" dataDxfId="10"/>
    <tableColumn id="21" xr3:uid="{2FC323EF-DFA4-4D4C-A6B7-0943FFAC18E6}" name="Desvio_x000a_(dias)" dataDxfId="9">
      <calculatedColumnFormula>IF(OR(Tabela1[[#This Row],[Replan]]="",Tabela1[[#This Row],[Previsto (LB)]]=""),"",Tabela1[[#This Row],[Previsto (LB)]]-Tabela1[[#This Row],[Replan]])</calculatedColumnFormula>
    </tableColumn>
    <tableColumn id="8" xr3:uid="{D331BD27-ED37-443D-8BA7-D55840D980C9}" name="Cód. EAP" dataDxfId="8"/>
    <tableColumn id="9" xr3:uid="{22BB7033-4A51-46F1-95E7-7DD1CDAEACDD}" name="Sistema de Controle Ambiental" dataDxfId="7"/>
    <tableColumn id="16" xr3:uid="{F93CB412-D617-48CD-9614-6FF73B573646}" name="SCA Macro" dataDxfId="6"/>
    <tableColumn id="12" xr3:uid="{928AF900-D6FB-44B7-8F1B-1E920B1584A2}" name="Disciplina" dataDxfId="5"/>
    <tableColumn id="18" xr3:uid="{131D291C-3ECD-47E8-B6B0-79B5F51D264C}" name="Supervisor responsável" dataDxfId="4"/>
    <tableColumn id="19" xr3:uid="{D7AA24D2-4211-4238-98A3-681A8E45D588}" name="Gerente responsável" dataDxfId="3"/>
    <tableColumn id="14" xr3:uid="{F5D69395-8BCA-4096-8593-8DC1BBDDB0C6}" name="Situação" dataDxfId="2"/>
    <tableColumn id="13" xr3:uid="{B4DE5162-CA5D-4666-8E59-09BF936F9B09}" name="Alerta" dataDxfId="1">
      <calculatedColumnFormula>IF(R10="Não iniciado",1,IF(R10="Em andamento",2,3))</calculatedColumnFormula>
    </tableColumn>
    <tableColumn id="15" xr3:uid="{2D6DE25C-93F4-44FE-9CB9-2FA9FD135450}" name="Observaçã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Inpasa">
      <a:dk1>
        <a:srgbClr val="747474"/>
      </a:dk1>
      <a:lt1>
        <a:srgbClr val="FFFFFF"/>
      </a:lt1>
      <a:dk2>
        <a:srgbClr val="124E81"/>
      </a:dk2>
      <a:lt2>
        <a:srgbClr val="E8E8E8"/>
      </a:lt2>
      <a:accent1>
        <a:srgbClr val="FFA32A"/>
      </a:accent1>
      <a:accent2>
        <a:srgbClr val="BDC1C3"/>
      </a:accent2>
      <a:accent3>
        <a:srgbClr val="479D3B"/>
      </a:accent3>
      <a:accent4>
        <a:srgbClr val="007DC9"/>
      </a:accent4>
      <a:accent5>
        <a:srgbClr val="007E78"/>
      </a:accent5>
      <a:accent6>
        <a:srgbClr val="C25919"/>
      </a:accent6>
      <a:hlink>
        <a:srgbClr val="45B8FF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0A71-610F-48A2-B1FF-AF020BE07F9D}">
  <sheetPr>
    <pageSetUpPr fitToPage="1"/>
  </sheetPr>
  <dimension ref="A1:DD287"/>
  <sheetViews>
    <sheetView showGridLines="0" tabSelected="1" zoomScale="85" zoomScaleNormal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9" sqref="A9"/>
    </sheetView>
  </sheetViews>
  <sheetFormatPr defaultColWidth="9.1796875" defaultRowHeight="14.5" x14ac:dyDescent="0.35"/>
  <cols>
    <col min="1" max="1" width="12.453125" style="7" customWidth="1"/>
    <col min="2" max="2" width="14.81640625" style="8" bestFit="1" customWidth="1"/>
    <col min="3" max="3" width="36.6328125" style="8" bestFit="1" customWidth="1"/>
    <col min="4" max="4" width="26.7265625" style="8" customWidth="1"/>
    <col min="5" max="5" width="23.08984375" style="8" customWidth="1"/>
    <col min="6" max="6" width="8.7265625" style="8" bestFit="1" customWidth="1"/>
    <col min="7" max="7" width="12.6328125" style="8" customWidth="1"/>
    <col min="8" max="8" width="12.6328125" style="9" customWidth="1"/>
    <col min="9" max="9" width="11.6328125" style="9" bestFit="1" customWidth="1"/>
    <col min="10" max="10" width="12" style="9" customWidth="1"/>
    <col min="11" max="11" width="10.36328125" style="9" bestFit="1" customWidth="1"/>
    <col min="12" max="12" width="12.1796875" style="9" hidden="1" customWidth="1"/>
    <col min="13" max="13" width="32.90625" style="7" bestFit="1" customWidth="1"/>
    <col min="14" max="14" width="15.90625" style="7" bestFit="1" customWidth="1"/>
    <col min="15" max="15" width="13.81640625" style="8" bestFit="1" customWidth="1"/>
    <col min="16" max="16" width="17.26953125" style="8" customWidth="1"/>
    <col min="17" max="17" width="15.81640625" style="8" customWidth="1"/>
    <col min="18" max="18" width="15.54296875" customWidth="1"/>
    <col min="19" max="19" width="9.08984375" style="7" customWidth="1"/>
    <col min="20" max="20" width="39.90625" style="8" bestFit="1" customWidth="1"/>
    <col min="21" max="21" width="60.453125" style="10" bestFit="1" customWidth="1"/>
    <col min="22" max="23" width="9.1796875" style="9" bestFit="1"/>
    <col min="24" max="24" width="16.08984375" style="9" customWidth="1"/>
    <col min="25" max="58" width="9.1796875" style="9" bestFit="1"/>
    <col min="59" max="16384" width="9.1796875" style="9"/>
  </cols>
  <sheetData>
    <row r="1" spans="1:34" s="2" customFormat="1" ht="12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  <c r="T1" s="1"/>
      <c r="U1" s="1"/>
      <c r="V1" s="1"/>
      <c r="W1" s="9"/>
      <c r="X1" s="1"/>
      <c r="Y1" s="1"/>
      <c r="Z1" s="1"/>
      <c r="AA1" s="1"/>
      <c r="AB1" s="1"/>
      <c r="AC1" s="1"/>
      <c r="AD1" s="1"/>
      <c r="AH1" s="1"/>
    </row>
    <row r="2" spans="1:34" s="2" customFormat="1" ht="12.5" customHeight="1" x14ac:dyDescent="0.35">
      <c r="A2" s="1"/>
      <c r="B2" s="1"/>
      <c r="C2" s="120" t="s">
        <v>319</v>
      </c>
      <c r="D2" s="45" t="s">
        <v>86</v>
      </c>
      <c r="E2" s="106" t="s">
        <v>1702</v>
      </c>
      <c r="F2" s="107"/>
      <c r="H2" s="100" t="s">
        <v>1688</v>
      </c>
      <c r="I2" s="116"/>
      <c r="J2" s="93"/>
      <c r="M2" s="123" t="s">
        <v>88</v>
      </c>
      <c r="N2" s="48" t="s">
        <v>1695</v>
      </c>
      <c r="O2" s="89" cm="1">
        <f t="array" ref="O2">SUMPRODUCT((Tabela1[Ilha de Processo]&lt;&gt;"")/COUNTIF(Tabela1[Ilha de Processo],Tabela1[Ilha de Processo]&amp;""))</f>
        <v>19.000000000000028</v>
      </c>
      <c r="AA2" s="1"/>
      <c r="AB2" s="1"/>
      <c r="AC2" s="1"/>
      <c r="AD2" s="1"/>
      <c r="AH2" s="1"/>
    </row>
    <row r="3" spans="1:34" s="2" customFormat="1" ht="12.5" x14ac:dyDescent="0.35">
      <c r="A3" s="1"/>
      <c r="B3" s="1"/>
      <c r="C3" s="121"/>
      <c r="D3" s="43" t="s">
        <v>87</v>
      </c>
      <c r="E3" s="108" t="s">
        <v>84</v>
      </c>
      <c r="F3" s="109"/>
      <c r="H3" s="104" t="s">
        <v>1692</v>
      </c>
      <c r="I3" s="113"/>
      <c r="J3" s="94"/>
      <c r="M3" s="123"/>
      <c r="N3" s="47" t="s">
        <v>317</v>
      </c>
      <c r="O3" s="90">
        <f>COUNTA(Tabela1[Sistema de Controle Ambiental])</f>
        <v>0</v>
      </c>
      <c r="AA3" s="1"/>
      <c r="AB3" s="1"/>
      <c r="AC3" s="1"/>
      <c r="AD3" s="1"/>
      <c r="AH3" s="1"/>
    </row>
    <row r="4" spans="1:34" s="2" customFormat="1" ht="12.5" x14ac:dyDescent="0.35">
      <c r="A4" s="1"/>
      <c r="B4" s="1"/>
      <c r="C4" s="121"/>
      <c r="D4" s="43" t="s">
        <v>81</v>
      </c>
      <c r="E4" s="108" t="s">
        <v>85</v>
      </c>
      <c r="F4" s="109"/>
      <c r="H4" s="103" t="s">
        <v>1701</v>
      </c>
      <c r="I4" s="114"/>
      <c r="J4" s="95"/>
      <c r="M4" s="123"/>
      <c r="N4" s="49" t="s">
        <v>6</v>
      </c>
      <c r="O4" s="91">
        <f>COUNTIF(Tabela1[Situação],$N4)</f>
        <v>0</v>
      </c>
      <c r="AA4" s="1"/>
      <c r="AB4" s="1"/>
      <c r="AC4" s="1"/>
      <c r="AD4" s="1"/>
      <c r="AH4" s="1"/>
    </row>
    <row r="5" spans="1:34" s="2" customFormat="1" ht="12.5" x14ac:dyDescent="0.35">
      <c r="A5" s="1"/>
      <c r="B5" s="1"/>
      <c r="C5" s="121"/>
      <c r="D5" s="43" t="s">
        <v>82</v>
      </c>
      <c r="E5" s="108" t="s">
        <v>1703</v>
      </c>
      <c r="F5" s="109"/>
      <c r="H5" s="96" t="s">
        <v>1690</v>
      </c>
      <c r="I5" s="117"/>
      <c r="J5" s="97"/>
      <c r="M5" s="123"/>
      <c r="N5" s="49" t="s">
        <v>7</v>
      </c>
      <c r="O5" s="91">
        <f>COUNTIF(Tabela1[Situação],$N5)</f>
        <v>0</v>
      </c>
      <c r="AA5" s="1"/>
      <c r="AB5" s="1"/>
      <c r="AC5" s="1"/>
      <c r="AD5" s="1"/>
      <c r="AH5" s="1"/>
    </row>
    <row r="6" spans="1:34" s="2" customFormat="1" ht="12.5" x14ac:dyDescent="0.35">
      <c r="A6" s="1"/>
      <c r="B6" s="1"/>
      <c r="C6" s="121"/>
      <c r="D6" s="43" t="s">
        <v>90</v>
      </c>
      <c r="E6" s="108"/>
      <c r="F6" s="109"/>
      <c r="H6" s="111" t="s">
        <v>1691</v>
      </c>
      <c r="I6" s="115"/>
      <c r="J6" s="98"/>
      <c r="M6" s="123"/>
      <c r="N6" s="49" t="s">
        <v>8</v>
      </c>
      <c r="O6" s="91">
        <f>COUNTIF(Tabela1[Situação],$N6)</f>
        <v>0</v>
      </c>
      <c r="AA6" s="1"/>
      <c r="AB6" s="3"/>
      <c r="AC6" s="1"/>
      <c r="AD6" s="1"/>
      <c r="AH6" s="1"/>
    </row>
    <row r="7" spans="1:34" s="2" customFormat="1" ht="12.5" x14ac:dyDescent="0.35">
      <c r="A7" s="1"/>
      <c r="B7" s="1"/>
      <c r="C7" s="122"/>
      <c r="D7" s="46" t="s">
        <v>83</v>
      </c>
      <c r="E7" s="29"/>
      <c r="F7" s="28"/>
      <c r="H7" s="102" t="s">
        <v>1689</v>
      </c>
      <c r="I7" s="118"/>
      <c r="J7" s="99"/>
      <c r="M7" s="123"/>
      <c r="N7" s="44" t="s">
        <v>318</v>
      </c>
      <c r="O7" s="92" t="e">
        <f>SUM(O4:O5)/O$3</f>
        <v>#DIV/0!</v>
      </c>
      <c r="AA7" s="4"/>
      <c r="AB7" s="3"/>
      <c r="AC7" s="1"/>
      <c r="AD7" s="1"/>
      <c r="AH7" s="1"/>
    </row>
    <row r="8" spans="1:34" s="2" customFormat="1" ht="12.5" x14ac:dyDescent="0.35">
      <c r="A8" s="1"/>
      <c r="B8" s="5"/>
      <c r="C8" s="5"/>
      <c r="D8" s="5"/>
      <c r="E8" s="5"/>
      <c r="F8" s="1"/>
      <c r="G8" s="1"/>
      <c r="L8" s="1"/>
      <c r="M8" s="1"/>
      <c r="N8" s="1"/>
      <c r="O8" s="1"/>
      <c r="P8" s="1"/>
      <c r="Q8" s="1"/>
      <c r="S8" s="1"/>
      <c r="T8" s="1"/>
      <c r="U8" s="1"/>
      <c r="V8" s="6"/>
      <c r="W8" s="9"/>
      <c r="X8" s="1"/>
      <c r="Y8" s="1"/>
      <c r="Z8" s="1"/>
      <c r="AA8" s="1"/>
      <c r="AB8" s="1"/>
      <c r="AC8" s="6"/>
      <c r="AD8" s="6"/>
      <c r="AH8" s="1"/>
    </row>
    <row r="9" spans="1:34" ht="37.5" x14ac:dyDescent="0.35">
      <c r="A9" s="110" t="s">
        <v>1696</v>
      </c>
      <c r="B9" s="14" t="s">
        <v>301</v>
      </c>
      <c r="C9" s="14" t="s">
        <v>304</v>
      </c>
      <c r="D9" s="14" t="s">
        <v>302</v>
      </c>
      <c r="E9" s="14" t="s">
        <v>316</v>
      </c>
      <c r="F9" s="14" t="s">
        <v>42</v>
      </c>
      <c r="G9" s="15" t="s">
        <v>25</v>
      </c>
      <c r="H9" s="15" t="s">
        <v>1700</v>
      </c>
      <c r="I9" s="15" t="s">
        <v>24</v>
      </c>
      <c r="J9" s="15" t="s">
        <v>1699</v>
      </c>
      <c r="K9" s="15" t="s">
        <v>1697</v>
      </c>
      <c r="L9" s="50" t="s">
        <v>1693</v>
      </c>
      <c r="M9" s="14" t="s">
        <v>295</v>
      </c>
      <c r="N9" s="14" t="s">
        <v>296</v>
      </c>
      <c r="O9" s="14" t="s">
        <v>22</v>
      </c>
      <c r="P9" s="15" t="s">
        <v>1687</v>
      </c>
      <c r="Q9" s="15" t="s">
        <v>1686</v>
      </c>
      <c r="R9" s="16" t="s">
        <v>26</v>
      </c>
      <c r="S9" s="16" t="s">
        <v>89</v>
      </c>
      <c r="T9" s="17" t="s">
        <v>80</v>
      </c>
      <c r="U9" s="9"/>
    </row>
    <row r="10" spans="1:34" s="11" customFormat="1" ht="17.5" customHeight="1" x14ac:dyDescent="0.35">
      <c r="A10" s="18" t="str">
        <f>_xlfn.XLOOKUP("*"&amp;Tabela1[[#This Row],[Processo]]&amp;"*",'Árvore de Localização'!$H:$H,'Árvore de Localização'!$G:$G,"0000",2)</f>
        <v>2123.F</v>
      </c>
      <c r="B10" s="38" t="str">
        <f>_xlfn.XLOOKUP(Tabela1[[#This Row],[Processo]],'Árvore de Localização'!$D:$D,'Árvore de Localização'!$B:$B,"",0,1)</f>
        <v>Administração</v>
      </c>
      <c r="C10" s="42" t="str">
        <f>_xlfn.XLOOKUP(Tabela1[[#This Row],[Processo]],'Árvore de Localização'!$D:$D,'Árvore de Localização'!$C:$C,"",0,1)</f>
        <v>Administração</v>
      </c>
      <c r="D10" s="39" t="s">
        <v>10</v>
      </c>
      <c r="E10" s="19" t="s">
        <v>10</v>
      </c>
      <c r="F10" s="19">
        <v>1</v>
      </c>
      <c r="G10" s="101"/>
      <c r="H10" s="101"/>
      <c r="I10" s="112"/>
      <c r="J10" s="119"/>
      <c r="K10" s="52" t="str">
        <f>IF(OR(Tabela1[[#This Row],[Replan]]="",Tabela1[[#This Row],[Previsto (LB)]]=""),"",Tabela1[[#This Row],[Previsto (LB)]]-Tabela1[[#This Row],[Replan]])</f>
        <v/>
      </c>
      <c r="L10" s="19" t="s">
        <v>1320</v>
      </c>
      <c r="M10" s="21"/>
      <c r="N10" s="21"/>
      <c r="O10" s="19"/>
      <c r="P10" s="19"/>
      <c r="Q10" s="19"/>
      <c r="R10" s="105"/>
      <c r="S10" s="38">
        <f>IF(R10="Não iniciado",1,IF(R10="Em andamento",2,3))</f>
        <v>3</v>
      </c>
      <c r="T10" s="23"/>
    </row>
    <row r="11" spans="1:34" s="11" customFormat="1" ht="12.5" x14ac:dyDescent="0.35">
      <c r="A11" s="18" t="str">
        <f>_xlfn.XLOOKUP("*"&amp;Tabela1[[#This Row],[Processo]]&amp;"*",'Árvore de Localização'!$H:$H,'Árvore de Localização'!$G:$G,"0000",2)</f>
        <v>2123.F</v>
      </c>
      <c r="B11" s="38" t="str">
        <f>_xlfn.XLOOKUP(Tabela1[[#This Row],[Processo]],'Árvore de Localização'!$D:$D,'Árvore de Localização'!$B:$B,"",0,1)</f>
        <v>Administração</v>
      </c>
      <c r="C11" s="42" t="str">
        <f>_xlfn.XLOOKUP(Tabela1[[#This Row],[Processo]],'Árvore de Localização'!$D:$D,'Árvore de Localização'!$C:$C,"",0,1)</f>
        <v>Administração</v>
      </c>
      <c r="D11" s="39" t="s">
        <v>10</v>
      </c>
      <c r="E11" s="19" t="s">
        <v>10</v>
      </c>
      <c r="F11" s="19">
        <v>1</v>
      </c>
      <c r="G11" s="101"/>
      <c r="H11" s="101"/>
      <c r="I11" s="112"/>
      <c r="J11" s="119"/>
      <c r="K11" s="52" t="str">
        <f>IF(OR(Tabela1[[#This Row],[Replan]]="",Tabela1[[#This Row],[Previsto (LB)]]=""),"",Tabela1[[#This Row],[Previsto (LB)]]-Tabela1[[#This Row],[Replan]])</f>
        <v/>
      </c>
      <c r="L11" s="19" t="s">
        <v>1321</v>
      </c>
      <c r="M11" s="21"/>
      <c r="N11" s="21"/>
      <c r="O11" s="19"/>
      <c r="P11" s="19"/>
      <c r="Q11" s="19"/>
      <c r="R11" s="105"/>
      <c r="S11" s="38">
        <f t="shared" ref="S11:S109" si="0">IF(R11="Não iniciado",1,IF(R11="Em andamento",2,3))</f>
        <v>3</v>
      </c>
      <c r="T11" s="23"/>
    </row>
    <row r="12" spans="1:34" s="11" customFormat="1" ht="12.5" x14ac:dyDescent="0.35">
      <c r="A12" s="18" t="str">
        <f>_xlfn.XLOOKUP("*"&amp;Tabela1[[#This Row],[Processo]]&amp;"*",'Árvore de Localização'!$H:$H,'Árvore de Localização'!$G:$G,"0000",2)</f>
        <v>2123.F</v>
      </c>
      <c r="B12" s="38" t="str">
        <f>_xlfn.XLOOKUP(Tabela1[[#This Row],[Processo]],'Árvore de Localização'!$D:$D,'Árvore de Localização'!$B:$B,"",0,1)</f>
        <v>Administração</v>
      </c>
      <c r="C12" s="42" t="str">
        <f>_xlfn.XLOOKUP(Tabela1[[#This Row],[Processo]],'Árvore de Localização'!$D:$D,'Árvore de Localização'!$C:$C,"",0,1)</f>
        <v>Administração</v>
      </c>
      <c r="D12" s="39" t="s">
        <v>10</v>
      </c>
      <c r="E12" s="19" t="s">
        <v>10</v>
      </c>
      <c r="F12" s="19">
        <v>1</v>
      </c>
      <c r="G12" s="101"/>
      <c r="H12" s="101"/>
      <c r="I12" s="112"/>
      <c r="J12" s="119"/>
      <c r="K12" s="52" t="str">
        <f>IF(OR(Tabela1[[#This Row],[Replan]]="",Tabela1[[#This Row],[Previsto (LB)]]=""),"",Tabela1[[#This Row],[Previsto (LB)]]-Tabela1[[#This Row],[Replan]])</f>
        <v/>
      </c>
      <c r="L12" s="19" t="s">
        <v>1329</v>
      </c>
      <c r="M12" s="21"/>
      <c r="N12" s="21"/>
      <c r="O12" s="19"/>
      <c r="P12" s="19"/>
      <c r="Q12" s="19"/>
      <c r="R12" s="105"/>
      <c r="S12" s="38">
        <f t="shared" si="0"/>
        <v>3</v>
      </c>
      <c r="T12" s="23"/>
    </row>
    <row r="13" spans="1:34" s="11" customFormat="1" ht="12.5" x14ac:dyDescent="0.35">
      <c r="A13" s="18" t="str">
        <f>_xlfn.XLOOKUP("*"&amp;Tabela1[[#This Row],[Processo]]&amp;"*",'Árvore de Localização'!$H:$H,'Árvore de Localização'!$G:$G,"0000",2)</f>
        <v>2109.C</v>
      </c>
      <c r="B13" s="38" t="str">
        <f>_xlfn.XLOOKUP(Tabela1[[#This Row],[Processo]],'Árvore de Localização'!$D:$D,'Árvore de Localização'!$B:$B,"",0,1)</f>
        <v>DDGSeÓleo</v>
      </c>
      <c r="C13" s="42" t="str">
        <f>_xlfn.XLOOKUP(Tabela1[[#This Row],[Processo]],'Árvore de Localização'!$D:$D,'Árvore de Localização'!$C:$C,"",0,1)</f>
        <v>Separação de Sólidos e Secagem de DDGS</v>
      </c>
      <c r="D13" s="39" t="s">
        <v>185</v>
      </c>
      <c r="E13" s="19" t="s">
        <v>12</v>
      </c>
      <c r="F13" s="19">
        <v>1</v>
      </c>
      <c r="G13" s="101"/>
      <c r="H13" s="101"/>
      <c r="I13" s="112"/>
      <c r="J13" s="119"/>
      <c r="K13" s="52" t="str">
        <f>IF(OR(Tabela1[[#This Row],[Replan]]="",Tabela1[[#This Row],[Previsto (LB)]]=""),"",Tabela1[[#This Row],[Previsto (LB)]]-Tabela1[[#This Row],[Replan]])</f>
        <v/>
      </c>
      <c r="L13" s="20" t="s">
        <v>696</v>
      </c>
      <c r="M13" s="21"/>
      <c r="N13" s="21"/>
      <c r="O13" s="19"/>
      <c r="P13" s="19"/>
      <c r="Q13" s="19"/>
      <c r="R13" s="105"/>
      <c r="S13" s="38">
        <f t="shared" si="0"/>
        <v>3</v>
      </c>
      <c r="T13" s="23"/>
    </row>
    <row r="14" spans="1:34" s="11" customFormat="1" ht="12.5" x14ac:dyDescent="0.35">
      <c r="A14" s="18" t="str">
        <f>_xlfn.XLOOKUP("*"&amp;Tabela1[[#This Row],[Processo]]&amp;"*",'Árvore de Localização'!$H:$H,'Árvore de Localização'!$G:$G,"0000",2)</f>
        <v>2109.C</v>
      </c>
      <c r="B14" s="38" t="str">
        <f>_xlfn.XLOOKUP(Tabela1[[#This Row],[Processo]],'Árvore de Localização'!$D:$D,'Árvore de Localização'!$B:$B,"",0,1)</f>
        <v>DDGSeÓleo</v>
      </c>
      <c r="C14" s="42" t="str">
        <f>_xlfn.XLOOKUP(Tabela1[[#This Row],[Processo]],'Árvore de Localização'!$D:$D,'Árvore de Localização'!$C:$C,"",0,1)</f>
        <v>Separação de Sólidos e Secagem de DDGS</v>
      </c>
      <c r="D14" s="39" t="s">
        <v>185</v>
      </c>
      <c r="E14" s="19" t="s">
        <v>12</v>
      </c>
      <c r="F14" s="19">
        <v>1</v>
      </c>
      <c r="G14" s="101"/>
      <c r="H14" s="101"/>
      <c r="I14" s="112"/>
      <c r="J14" s="119"/>
      <c r="K14" s="52" t="str">
        <f>IF(OR(Tabela1[[#This Row],[Replan]]="",Tabela1[[#This Row],[Previsto (LB)]]=""),"",Tabela1[[#This Row],[Previsto (LB)]]-Tabela1[[#This Row],[Replan]])</f>
        <v/>
      </c>
      <c r="L14" s="20" t="s">
        <v>697</v>
      </c>
      <c r="M14" s="21"/>
      <c r="N14" s="21"/>
      <c r="O14" s="19"/>
      <c r="P14" s="19"/>
      <c r="Q14" s="19"/>
      <c r="R14" s="105"/>
      <c r="S14" s="38">
        <f>IF(R14="Não iniciado",1,IF(R14="Em andamento",2,3))</f>
        <v>3</v>
      </c>
      <c r="T14" s="27"/>
    </row>
    <row r="15" spans="1:34" s="11" customFormat="1" ht="12.5" x14ac:dyDescent="0.35">
      <c r="A15" s="18" t="str">
        <f>_xlfn.XLOOKUP("*"&amp;Tabela1[[#This Row],[Processo]]&amp;"*",'Árvore de Localização'!$H:$H,'Árvore de Localização'!$G:$G,"0000",2)</f>
        <v>2109.C</v>
      </c>
      <c r="B15" s="38" t="str">
        <f>_xlfn.XLOOKUP(Tabela1[[#This Row],[Processo]],'Árvore de Localização'!$D:$D,'Árvore de Localização'!$B:$B,"",0,1)</f>
        <v>DDGSeÓleo</v>
      </c>
      <c r="C15" s="42" t="str">
        <f>_xlfn.XLOOKUP(Tabela1[[#This Row],[Processo]],'Árvore de Localização'!$D:$D,'Árvore de Localização'!$C:$C,"",0,1)</f>
        <v>Separação de Sólidos e Secagem de DDGS</v>
      </c>
      <c r="D15" s="39" t="s">
        <v>185</v>
      </c>
      <c r="E15" s="19" t="s">
        <v>12</v>
      </c>
      <c r="F15" s="19">
        <v>1</v>
      </c>
      <c r="G15" s="101"/>
      <c r="H15" s="101"/>
      <c r="I15" s="112"/>
      <c r="J15" s="119"/>
      <c r="K15" s="52" t="str">
        <f>IF(OR(Tabela1[[#This Row],[Replan]]="",Tabela1[[#This Row],[Previsto (LB)]]=""),"",Tabela1[[#This Row],[Previsto (LB)]]-Tabela1[[#This Row],[Replan]])</f>
        <v/>
      </c>
      <c r="L15" s="20" t="s">
        <v>698</v>
      </c>
      <c r="M15" s="21"/>
      <c r="N15" s="21"/>
      <c r="O15" s="19"/>
      <c r="P15" s="19"/>
      <c r="Q15" s="19"/>
      <c r="R15" s="105"/>
      <c r="S15" s="38">
        <f>IF(R15="Não iniciado",1,IF(R15="Em andamento",2,3))</f>
        <v>3</v>
      </c>
      <c r="T15" s="27"/>
    </row>
    <row r="16" spans="1:34" s="11" customFormat="1" ht="12.5" x14ac:dyDescent="0.35">
      <c r="A16" s="18" t="str">
        <f>_xlfn.XLOOKUP("*"&amp;Tabela1[[#This Row],[Processo]]&amp;"*",'Árvore de Localização'!$H:$H,'Árvore de Localização'!$G:$G,"0000",2)</f>
        <v>2119.</v>
      </c>
      <c r="B16" s="38" t="str">
        <f>_xlfn.XLOOKUP(Tabela1[[#This Row],[Processo]],'Árvore de Localização'!$D:$D,'Árvore de Localização'!$B:$B,"",0,1)</f>
        <v>Grãos</v>
      </c>
      <c r="C16" s="42" t="str">
        <f>_xlfn.XLOOKUP(Tabela1[[#This Row],[Processo]],'Árvore de Localização'!$D:$D,'Árvore de Localização'!$C:$C,"",0,1)</f>
        <v>Descarregamento e Armazenamento de Grãos</v>
      </c>
      <c r="D16" s="39" t="s">
        <v>260</v>
      </c>
      <c r="E16" s="19" t="s">
        <v>58</v>
      </c>
      <c r="F16" s="19">
        <v>1</v>
      </c>
      <c r="G16" s="101"/>
      <c r="H16" s="101"/>
      <c r="I16" s="112"/>
      <c r="J16" s="119"/>
      <c r="K16" s="52" t="str">
        <f>IF(OR(Tabela1[[#This Row],[Replan]]="",Tabela1[[#This Row],[Previsto (LB)]]=""),"",Tabela1[[#This Row],[Previsto (LB)]]-Tabela1[[#This Row],[Replan]])</f>
        <v/>
      </c>
      <c r="L16" s="20" t="s">
        <v>1272</v>
      </c>
      <c r="M16" s="21"/>
      <c r="N16" s="21"/>
      <c r="O16" s="19"/>
      <c r="P16" s="19"/>
      <c r="Q16" s="19"/>
      <c r="R16" s="105"/>
      <c r="S16" s="38">
        <f t="shared" si="0"/>
        <v>3</v>
      </c>
      <c r="T16" s="23"/>
    </row>
    <row r="17" spans="1:20" s="11" customFormat="1" ht="12.5" x14ac:dyDescent="0.35">
      <c r="A17" s="18" t="str">
        <f>_xlfn.XLOOKUP("*"&amp;Tabela1[[#This Row],[Processo]]&amp;"*",'Árvore de Localização'!$H:$H,'Árvore de Localização'!$G:$G,"0000",2)</f>
        <v>2119.</v>
      </c>
      <c r="B17" s="38" t="str">
        <f>_xlfn.XLOOKUP(Tabela1[[#This Row],[Processo]],'Árvore de Localização'!$D:$D,'Árvore de Localização'!$B:$B,"",0,1)</f>
        <v>Grãos</v>
      </c>
      <c r="C17" s="42" t="str">
        <f>_xlfn.XLOOKUP(Tabela1[[#This Row],[Processo]],'Árvore de Localização'!$D:$D,'Árvore de Localização'!$C:$C,"",0,1)</f>
        <v>Descarregamento e Armazenamento de Grãos</v>
      </c>
      <c r="D17" s="39" t="s">
        <v>260</v>
      </c>
      <c r="E17" s="19" t="s">
        <v>58</v>
      </c>
      <c r="F17" s="19">
        <v>1</v>
      </c>
      <c r="G17" s="101"/>
      <c r="H17" s="101"/>
      <c r="I17" s="112"/>
      <c r="J17" s="119"/>
      <c r="K17" s="52" t="str">
        <f>IF(OR(Tabela1[[#This Row],[Replan]]="",Tabela1[[#This Row],[Previsto (LB)]]=""),"",Tabela1[[#This Row],[Previsto (LB)]]-Tabela1[[#This Row],[Replan]])</f>
        <v/>
      </c>
      <c r="L17" s="20" t="s">
        <v>1273</v>
      </c>
      <c r="M17" s="21"/>
      <c r="N17" s="21"/>
      <c r="O17" s="19"/>
      <c r="P17" s="19"/>
      <c r="Q17" s="19"/>
      <c r="R17" s="105"/>
      <c r="S17" s="38">
        <f>IF(R17="Não iniciado",1,IF(R17="Em andamento",2,3))</f>
        <v>3</v>
      </c>
      <c r="T17" s="27"/>
    </row>
    <row r="18" spans="1:20" s="11" customFormat="1" ht="12.5" x14ac:dyDescent="0.35">
      <c r="A18" s="18" t="str">
        <f>_xlfn.XLOOKUP("*"&amp;Tabela1[[#This Row],[Processo]]&amp;"*",'Árvore de Localização'!$H:$H,'Árvore de Localização'!$G:$G,"0000",2)</f>
        <v>2119.</v>
      </c>
      <c r="B18" s="38" t="str">
        <f>_xlfn.XLOOKUP(Tabela1[[#This Row],[Processo]],'Árvore de Localização'!$D:$D,'Árvore de Localização'!$B:$B,"",0,1)</f>
        <v>Grãos</v>
      </c>
      <c r="C18" s="42" t="str">
        <f>_xlfn.XLOOKUP(Tabela1[[#This Row],[Processo]],'Árvore de Localização'!$D:$D,'Árvore de Localização'!$C:$C,"",0,1)</f>
        <v>Descarregamento e Armazenamento de Grãos</v>
      </c>
      <c r="D18" s="39" t="s">
        <v>260</v>
      </c>
      <c r="E18" s="19" t="s">
        <v>58</v>
      </c>
      <c r="F18" s="19">
        <v>1</v>
      </c>
      <c r="G18" s="101"/>
      <c r="H18" s="101"/>
      <c r="I18" s="112"/>
      <c r="J18" s="119"/>
      <c r="K18" s="52" t="str">
        <f>IF(OR(Tabela1[[#This Row],[Replan]]="",Tabela1[[#This Row],[Previsto (LB)]]=""),"",Tabela1[[#This Row],[Previsto (LB)]]-Tabela1[[#This Row],[Replan]])</f>
        <v/>
      </c>
      <c r="L18" s="20" t="s">
        <v>1274</v>
      </c>
      <c r="M18" s="21"/>
      <c r="N18" s="21"/>
      <c r="O18" s="19"/>
      <c r="P18" s="19"/>
      <c r="Q18" s="19"/>
      <c r="R18" s="105"/>
      <c r="S18" s="38">
        <f>IF(R18="Não iniciado",1,IF(R18="Em andamento",2,3))</f>
        <v>3</v>
      </c>
      <c r="T18" s="27"/>
    </row>
    <row r="19" spans="1:20" s="11" customFormat="1" ht="12.5" x14ac:dyDescent="0.35">
      <c r="A19" s="18" t="str">
        <f>_xlfn.XLOOKUP("*"&amp;Tabela1[[#This Row],[Processo]]&amp;"*",'Árvore de Localização'!$H:$H,'Árvore de Localização'!$G:$G,"0000",2)</f>
        <v>2100.C</v>
      </c>
      <c r="B19" s="38" t="str">
        <f>_xlfn.XLOOKUP(Tabela1[[#This Row],[Processo]],'Árvore de Localização'!$D:$D,'Árvore de Localização'!$B:$B,"",0,1)</f>
        <v>Geral</v>
      </c>
      <c r="C19" s="42" t="str">
        <f>_xlfn.XLOOKUP(Tabela1[[#This Row],[Processo]],'Árvore de Localização'!$D:$D,'Árvore de Localização'!$C:$C,"",0,1)</f>
        <v>Geral</v>
      </c>
      <c r="D19" s="39" t="s">
        <v>49</v>
      </c>
      <c r="E19" s="19" t="s">
        <v>30</v>
      </c>
      <c r="F19" s="19" t="s">
        <v>43</v>
      </c>
      <c r="G19" s="101"/>
      <c r="H19" s="101"/>
      <c r="I19" s="112"/>
      <c r="J19" s="119"/>
      <c r="K19" s="52" t="str">
        <f>IF(OR(Tabela1[[#This Row],[Replan]]="",Tabela1[[#This Row],[Previsto (LB)]]=""),"",Tabela1[[#This Row],[Previsto (LB)]]-Tabela1[[#This Row],[Replan]])</f>
        <v/>
      </c>
      <c r="L19" s="20" t="s">
        <v>395</v>
      </c>
      <c r="M19" s="21"/>
      <c r="N19" s="21"/>
      <c r="O19" s="19"/>
      <c r="P19" s="19"/>
      <c r="Q19" s="19"/>
      <c r="R19" s="105"/>
      <c r="S19" s="38">
        <f t="shared" si="0"/>
        <v>3</v>
      </c>
      <c r="T19" s="24"/>
    </row>
    <row r="20" spans="1:20" s="11" customFormat="1" ht="12.5" x14ac:dyDescent="0.35">
      <c r="A20" s="18" t="str">
        <f>_xlfn.XLOOKUP("*"&amp;Tabela1[[#This Row],[Processo]]&amp;"*",'Árvore de Localização'!$H:$H,'Árvore de Localização'!$G:$G,"0000",2)</f>
        <v>2100.C</v>
      </c>
      <c r="B20" s="38" t="str">
        <f>_xlfn.XLOOKUP(Tabela1[[#This Row],[Processo]],'Árvore de Localização'!$D:$D,'Árvore de Localização'!$B:$B,"",0,1)</f>
        <v>Geral</v>
      </c>
      <c r="C20" s="42" t="str">
        <f>_xlfn.XLOOKUP(Tabela1[[#This Row],[Processo]],'Árvore de Localização'!$D:$D,'Árvore de Localização'!$C:$C,"",0,1)</f>
        <v>Geral</v>
      </c>
      <c r="D20" s="39" t="s">
        <v>49</v>
      </c>
      <c r="E20" s="19" t="s">
        <v>30</v>
      </c>
      <c r="F20" s="19" t="s">
        <v>43</v>
      </c>
      <c r="G20" s="101"/>
      <c r="H20" s="101"/>
      <c r="I20" s="112"/>
      <c r="J20" s="119"/>
      <c r="K20" s="52" t="str">
        <f>IF(OR(Tabela1[[#This Row],[Replan]]="",Tabela1[[#This Row],[Previsto (LB)]]=""),"",Tabela1[[#This Row],[Previsto (LB)]]-Tabela1[[#This Row],[Replan]])</f>
        <v/>
      </c>
      <c r="L20" s="20" t="s">
        <v>396</v>
      </c>
      <c r="M20" s="21"/>
      <c r="N20" s="21"/>
      <c r="O20" s="19"/>
      <c r="P20" s="19"/>
      <c r="Q20" s="19"/>
      <c r="R20" s="105"/>
      <c r="S20" s="38">
        <f t="shared" si="0"/>
        <v>3</v>
      </c>
      <c r="T20" s="24"/>
    </row>
    <row r="21" spans="1:20" s="11" customFormat="1" ht="12.5" x14ac:dyDescent="0.35">
      <c r="A21" s="18" t="str">
        <f>_xlfn.XLOOKUP("*"&amp;Tabela1[[#This Row],[Processo]]&amp;"*",'Árvore de Localização'!$H:$H,'Árvore de Localização'!$G:$G,"0000",2)</f>
        <v>2100.C</v>
      </c>
      <c r="B21" s="38" t="str">
        <f>_xlfn.XLOOKUP(Tabela1[[#This Row],[Processo]],'Árvore de Localização'!$D:$D,'Árvore de Localização'!$B:$B,"",0,1)</f>
        <v>Geral</v>
      </c>
      <c r="C21" s="42" t="str">
        <f>_xlfn.XLOOKUP(Tabela1[[#This Row],[Processo]],'Árvore de Localização'!$D:$D,'Árvore de Localização'!$C:$C,"",0,1)</f>
        <v>Geral</v>
      </c>
      <c r="D21" s="39" t="s">
        <v>49</v>
      </c>
      <c r="E21" s="19" t="s">
        <v>30</v>
      </c>
      <c r="F21" s="19" t="s">
        <v>43</v>
      </c>
      <c r="G21" s="101"/>
      <c r="H21" s="101"/>
      <c r="I21" s="112"/>
      <c r="J21" s="119"/>
      <c r="K21" s="52" t="str">
        <f>IF(OR(Tabela1[[#This Row],[Replan]]="",Tabela1[[#This Row],[Previsto (LB)]]=""),"",Tabela1[[#This Row],[Previsto (LB)]]-Tabela1[[#This Row],[Replan]])</f>
        <v/>
      </c>
      <c r="L21" s="20" t="s">
        <v>397</v>
      </c>
      <c r="M21" s="21"/>
      <c r="N21" s="21"/>
      <c r="O21" s="19"/>
      <c r="P21" s="19"/>
      <c r="Q21" s="19"/>
      <c r="R21" s="105"/>
      <c r="S21" s="38">
        <f t="shared" si="0"/>
        <v>3</v>
      </c>
      <c r="T21" s="24"/>
    </row>
    <row r="22" spans="1:20" s="11" customFormat="1" ht="12.5" x14ac:dyDescent="0.35">
      <c r="A22" s="18" t="str">
        <f>_xlfn.XLOOKUP("*"&amp;Tabela1[[#This Row],[Processo]]&amp;"*",'Árvore de Localização'!$H:$H,'Árvore de Localização'!$G:$G,"0000",2)</f>
        <v>2100.C</v>
      </c>
      <c r="B22" s="38" t="str">
        <f>_xlfn.XLOOKUP(Tabela1[[#This Row],[Processo]],'Árvore de Localização'!$D:$D,'Árvore de Localização'!$B:$B,"",0,1)</f>
        <v>Geral</v>
      </c>
      <c r="C22" s="42" t="str">
        <f>_xlfn.XLOOKUP(Tabela1[[#This Row],[Processo]],'Árvore de Localização'!$D:$D,'Árvore de Localização'!$C:$C,"",0,1)</f>
        <v>Geral</v>
      </c>
      <c r="D22" s="39" t="s">
        <v>49</v>
      </c>
      <c r="E22" s="19" t="s">
        <v>30</v>
      </c>
      <c r="F22" s="19" t="s">
        <v>43</v>
      </c>
      <c r="G22" s="101"/>
      <c r="H22" s="101"/>
      <c r="I22" s="112"/>
      <c r="J22" s="119"/>
      <c r="K22" s="52" t="str">
        <f>IF(OR(Tabela1[[#This Row],[Replan]]="",Tabela1[[#This Row],[Previsto (LB)]]=""),"",Tabela1[[#This Row],[Previsto (LB)]]-Tabela1[[#This Row],[Replan]])</f>
        <v/>
      </c>
      <c r="L22" s="20" t="s">
        <v>398</v>
      </c>
      <c r="M22" s="21"/>
      <c r="N22" s="21"/>
      <c r="O22" s="19"/>
      <c r="P22" s="19"/>
      <c r="Q22" s="19"/>
      <c r="R22" s="105"/>
      <c r="S22" s="38">
        <f t="shared" si="0"/>
        <v>3</v>
      </c>
      <c r="T22" s="24"/>
    </row>
    <row r="23" spans="1:20" s="11" customFormat="1" ht="12.5" x14ac:dyDescent="0.35">
      <c r="A23" s="18" t="str">
        <f>_xlfn.XLOOKUP("*"&amp;Tabela1[[#This Row],[Processo]]&amp;"*",'Árvore de Localização'!$H:$H,'Árvore de Localização'!$G:$G,"0000",2)</f>
        <v>2100.C</v>
      </c>
      <c r="B23" s="38" t="str">
        <f>_xlfn.XLOOKUP(Tabela1[[#This Row],[Processo]],'Árvore de Localização'!$D:$D,'Árvore de Localização'!$B:$B,"",0,1)</f>
        <v>Geral</v>
      </c>
      <c r="C23" s="42" t="str">
        <f>_xlfn.XLOOKUP(Tabela1[[#This Row],[Processo]],'Árvore de Localização'!$D:$D,'Árvore de Localização'!$C:$C,"",0,1)</f>
        <v>Geral</v>
      </c>
      <c r="D23" s="39" t="s">
        <v>49</v>
      </c>
      <c r="E23" s="19" t="s">
        <v>30</v>
      </c>
      <c r="F23" s="19" t="s">
        <v>43</v>
      </c>
      <c r="G23" s="101"/>
      <c r="H23" s="101"/>
      <c r="I23" s="112"/>
      <c r="J23" s="119"/>
      <c r="K23" s="52" t="str">
        <f>IF(OR(Tabela1[[#This Row],[Replan]]="",Tabela1[[#This Row],[Previsto (LB)]]=""),"",Tabela1[[#This Row],[Previsto (LB)]]-Tabela1[[#This Row],[Replan]])</f>
        <v/>
      </c>
      <c r="L23" s="20" t="s">
        <v>415</v>
      </c>
      <c r="M23" s="21"/>
      <c r="N23" s="21"/>
      <c r="O23" s="19"/>
      <c r="P23" s="19"/>
      <c r="Q23" s="19"/>
      <c r="R23" s="105"/>
      <c r="S23" s="38">
        <f>IF(R23="Não iniciado",1,IF(R23="Em andamento",2,3))</f>
        <v>3</v>
      </c>
      <c r="T23" s="27"/>
    </row>
    <row r="24" spans="1:20" s="11" customFormat="1" ht="12.5" x14ac:dyDescent="0.35">
      <c r="A24" s="18" t="str">
        <f>_xlfn.XLOOKUP("*"&amp;Tabela1[[#This Row],[Processo]]&amp;"*",'Árvore de Localização'!$H:$H,'Árvore de Localização'!$G:$G,"0000",2)</f>
        <v>2100.C</v>
      </c>
      <c r="B24" s="38" t="str">
        <f>_xlfn.XLOOKUP(Tabela1[[#This Row],[Processo]],'Árvore de Localização'!$D:$D,'Árvore de Localização'!$B:$B,"",0,1)</f>
        <v>Geral</v>
      </c>
      <c r="C24" s="42" t="str">
        <f>_xlfn.XLOOKUP(Tabela1[[#This Row],[Processo]],'Árvore de Localização'!$D:$D,'Árvore de Localização'!$C:$C,"",0,1)</f>
        <v>Geral</v>
      </c>
      <c r="D24" s="39" t="s">
        <v>49</v>
      </c>
      <c r="E24" s="19" t="s">
        <v>30</v>
      </c>
      <c r="F24" s="19" t="s">
        <v>43</v>
      </c>
      <c r="G24" s="101"/>
      <c r="H24" s="101"/>
      <c r="I24" s="112"/>
      <c r="J24" s="119"/>
      <c r="K24" s="52" t="str">
        <f>IF(OR(Tabela1[[#This Row],[Replan]]="",Tabela1[[#This Row],[Previsto (LB)]]=""),"",Tabela1[[#This Row],[Previsto (LB)]]-Tabela1[[#This Row],[Replan]])</f>
        <v/>
      </c>
      <c r="L24" s="20" t="s">
        <v>399</v>
      </c>
      <c r="M24" s="21"/>
      <c r="N24" s="21"/>
      <c r="O24" s="19"/>
      <c r="P24" s="19"/>
      <c r="Q24" s="19"/>
      <c r="R24" s="105"/>
      <c r="S24" s="38">
        <f>IF(R24="Não iniciado",1,IF(R24="Em andamento",2,3))</f>
        <v>3</v>
      </c>
      <c r="T24" s="27"/>
    </row>
    <row r="25" spans="1:20" s="11" customFormat="1" ht="12.5" x14ac:dyDescent="0.35">
      <c r="A25" s="18" t="str">
        <f>_xlfn.XLOOKUP("*"&amp;Tabela1[[#This Row],[Processo]]&amp;"*",'Árvore de Localização'!$H:$H,'Árvore de Localização'!$G:$G,"0000",2)</f>
        <v>2110.D</v>
      </c>
      <c r="B25" s="38" t="str">
        <f>_xlfn.XLOOKUP(Tabela1[[#This Row],[Processo]],'Árvore de Localização'!$D:$D,'Árvore de Localização'!$B:$B,"",0,1)</f>
        <v>Utilidades</v>
      </c>
      <c r="C25" s="42" t="str">
        <f>_xlfn.XLOOKUP(Tabela1[[#This Row],[Processo]],'Árvore de Localização'!$D:$D,'Árvore de Localização'!$C:$C,"",0,1)</f>
        <v>Estação de Tratamento de Água (ETA)</v>
      </c>
      <c r="D25" s="39" t="s">
        <v>241</v>
      </c>
      <c r="E25" s="19" t="s">
        <v>31</v>
      </c>
      <c r="F25" s="19" t="s">
        <v>43</v>
      </c>
      <c r="G25" s="101"/>
      <c r="H25" s="101"/>
      <c r="I25" s="112"/>
      <c r="J25" s="119"/>
      <c r="K25" s="52" t="str">
        <f>IF(OR(Tabela1[[#This Row],[Replan]]="",Tabela1[[#This Row],[Previsto (LB)]]=""),"",Tabela1[[#This Row],[Previsto (LB)]]-Tabela1[[#This Row],[Replan]])</f>
        <v/>
      </c>
      <c r="L25" s="20" t="s">
        <v>1032</v>
      </c>
      <c r="M25" s="25"/>
      <c r="N25" s="25"/>
      <c r="O25" s="19"/>
      <c r="P25" s="19"/>
      <c r="Q25" s="19"/>
      <c r="R25" s="105"/>
      <c r="S25" s="38">
        <f t="shared" si="0"/>
        <v>3</v>
      </c>
      <c r="T25" s="23"/>
    </row>
    <row r="26" spans="1:20" s="11" customFormat="1" ht="12.5" x14ac:dyDescent="0.35">
      <c r="A26" s="18" t="str">
        <f>_xlfn.XLOOKUP("*"&amp;Tabela1[[#This Row],[Processo]]&amp;"*",'Árvore de Localização'!$H:$H,'Árvore de Localização'!$G:$G,"0000",2)</f>
        <v>2110.D</v>
      </c>
      <c r="B26" s="38" t="str">
        <f>_xlfn.XLOOKUP(Tabela1[[#This Row],[Processo]],'Árvore de Localização'!$D:$D,'Árvore de Localização'!$B:$B,"",0,1)</f>
        <v>Utilidades</v>
      </c>
      <c r="C26" s="42" t="str">
        <f>_xlfn.XLOOKUP(Tabela1[[#This Row],[Processo]],'Árvore de Localização'!$D:$D,'Árvore de Localização'!$C:$C,"",0,1)</f>
        <v>Estação de Tratamento de Água (ETA)</v>
      </c>
      <c r="D26" s="39" t="s">
        <v>241</v>
      </c>
      <c r="E26" s="19" t="s">
        <v>31</v>
      </c>
      <c r="F26" s="19" t="s">
        <v>43</v>
      </c>
      <c r="G26" s="101"/>
      <c r="H26" s="101"/>
      <c r="I26" s="112"/>
      <c r="J26" s="119"/>
      <c r="K26" s="52" t="str">
        <f>IF(OR(Tabela1[[#This Row],[Replan]]="",Tabela1[[#This Row],[Previsto (LB)]]=""),"",Tabela1[[#This Row],[Previsto (LB)]]-Tabela1[[#This Row],[Replan]])</f>
        <v/>
      </c>
      <c r="L26" s="20" t="s">
        <v>1050</v>
      </c>
      <c r="M26" s="21"/>
      <c r="N26" s="25"/>
      <c r="O26" s="19"/>
      <c r="P26" s="19"/>
      <c r="Q26" s="19"/>
      <c r="R26" s="105"/>
      <c r="S26" s="38">
        <f t="shared" si="0"/>
        <v>3</v>
      </c>
      <c r="T26" s="23"/>
    </row>
    <row r="27" spans="1:20" s="11" customFormat="1" ht="12.5" x14ac:dyDescent="0.35">
      <c r="A27" s="18" t="str">
        <f>_xlfn.XLOOKUP("*"&amp;Tabela1[[#This Row],[Processo]]&amp;"*",'Árvore de Localização'!$H:$H,'Árvore de Localização'!$G:$G,"0000",2)</f>
        <v>2110.D</v>
      </c>
      <c r="B27" s="38" t="str">
        <f>_xlfn.XLOOKUP(Tabela1[[#This Row],[Processo]],'Árvore de Localização'!$D:$D,'Árvore de Localização'!$B:$B,"",0,1)</f>
        <v>Utilidades</v>
      </c>
      <c r="C27" s="42" t="str">
        <f>_xlfn.XLOOKUP(Tabela1[[#This Row],[Processo]],'Árvore de Localização'!$D:$D,'Árvore de Localização'!$C:$C,"",0,1)</f>
        <v>Estação de Tratamento de Água (ETA)</v>
      </c>
      <c r="D27" s="39" t="s">
        <v>241</v>
      </c>
      <c r="E27" s="19" t="s">
        <v>31</v>
      </c>
      <c r="F27" s="19" t="s">
        <v>43</v>
      </c>
      <c r="G27" s="101"/>
      <c r="H27" s="101"/>
      <c r="I27" s="112"/>
      <c r="J27" s="119"/>
      <c r="K27" s="52" t="str">
        <f>IF(OR(Tabela1[[#This Row],[Replan]]="",Tabela1[[#This Row],[Previsto (LB)]]=""),"",Tabela1[[#This Row],[Previsto (LB)]]-Tabela1[[#This Row],[Replan]])</f>
        <v/>
      </c>
      <c r="L27" s="20" t="s">
        <v>1033</v>
      </c>
      <c r="M27" s="21"/>
      <c r="N27" s="21"/>
      <c r="O27" s="19"/>
      <c r="P27" s="19"/>
      <c r="Q27" s="19"/>
      <c r="R27" s="105"/>
      <c r="S27" s="38">
        <f t="shared" si="0"/>
        <v>3</v>
      </c>
      <c r="T27" s="23"/>
    </row>
    <row r="28" spans="1:20" s="11" customFormat="1" ht="12.5" x14ac:dyDescent="0.35">
      <c r="A28" s="18" t="str">
        <f>_xlfn.XLOOKUP("*"&amp;Tabela1[[#This Row],[Processo]]&amp;"*",'Árvore de Localização'!$H:$H,'Árvore de Localização'!$G:$G,"0000",2)</f>
        <v>2110.D</v>
      </c>
      <c r="B28" s="38" t="str">
        <f>_xlfn.XLOOKUP(Tabela1[[#This Row],[Processo]],'Árvore de Localização'!$D:$D,'Árvore de Localização'!$B:$B,"",0,1)</f>
        <v>Utilidades</v>
      </c>
      <c r="C28" s="42" t="str">
        <f>_xlfn.XLOOKUP(Tabela1[[#This Row],[Processo]],'Árvore de Localização'!$D:$D,'Árvore de Localização'!$C:$C,"",0,1)</f>
        <v>Estação de Tratamento de Água (ETA)</v>
      </c>
      <c r="D28" s="39" t="s">
        <v>241</v>
      </c>
      <c r="E28" s="19" t="s">
        <v>31</v>
      </c>
      <c r="F28" s="19" t="s">
        <v>43</v>
      </c>
      <c r="G28" s="101"/>
      <c r="H28" s="101"/>
      <c r="I28" s="112"/>
      <c r="J28" s="119"/>
      <c r="K28" s="52" t="str">
        <f>IF(OR(Tabela1[[#This Row],[Replan]]="",Tabela1[[#This Row],[Previsto (LB)]]=""),"",Tabela1[[#This Row],[Previsto (LB)]]-Tabela1[[#This Row],[Replan]])</f>
        <v/>
      </c>
      <c r="L28" s="20" t="s">
        <v>1034</v>
      </c>
      <c r="M28" s="21"/>
      <c r="N28" s="21"/>
      <c r="O28" s="19"/>
      <c r="P28" s="19"/>
      <c r="Q28" s="19"/>
      <c r="R28" s="105"/>
      <c r="S28" s="38">
        <f t="shared" si="0"/>
        <v>3</v>
      </c>
      <c r="T28" s="23"/>
    </row>
    <row r="29" spans="1:20" s="11" customFormat="1" ht="12.5" x14ac:dyDescent="0.35">
      <c r="A29" s="18" t="str">
        <f>_xlfn.XLOOKUP("*"&amp;Tabela1[[#This Row],[Processo]]&amp;"*",'Árvore de Localização'!$H:$H,'Árvore de Localização'!$G:$G,"0000",2)</f>
        <v>2101.A</v>
      </c>
      <c r="B29" s="38" t="str">
        <f>_xlfn.XLOOKUP(Tabela1[[#This Row],[Processo]],'Árvore de Localização'!$D:$D,'Árvore de Localização'!$B:$B,"",0,1)</f>
        <v>Utilidades</v>
      </c>
      <c r="C29" s="42" t="str">
        <f>_xlfn.XLOOKUP(Tabela1[[#This Row],[Processo]],'Árvore de Localização'!$D:$D,'Árvore de Localização'!$C:$C,"",0,1)</f>
        <v>Geração de Vapor</v>
      </c>
      <c r="D29" s="39" t="s">
        <v>3</v>
      </c>
      <c r="E29" s="19" t="s">
        <v>3</v>
      </c>
      <c r="F29" s="19">
        <v>1</v>
      </c>
      <c r="G29" s="101"/>
      <c r="H29" s="101"/>
      <c r="I29" s="112"/>
      <c r="J29" s="119"/>
      <c r="K29" s="52" t="str">
        <f>IF(OR(Tabela1[[#This Row],[Replan]]="",Tabela1[[#This Row],[Previsto (LB)]]=""),"",Tabela1[[#This Row],[Previsto (LB)]]-Tabela1[[#This Row],[Replan]])</f>
        <v/>
      </c>
      <c r="L29" s="20" t="s">
        <v>888</v>
      </c>
      <c r="M29" s="21"/>
      <c r="N29" s="25"/>
      <c r="O29" s="19"/>
      <c r="P29" s="19"/>
      <c r="Q29" s="19"/>
      <c r="R29" s="105"/>
      <c r="S29" s="38">
        <f t="shared" si="0"/>
        <v>3</v>
      </c>
      <c r="T29" s="24"/>
    </row>
    <row r="30" spans="1:20" s="11" customFormat="1" ht="12.5" x14ac:dyDescent="0.35">
      <c r="A30" s="18" t="str">
        <f>_xlfn.XLOOKUP("*"&amp;Tabela1[[#This Row],[Processo]]&amp;"*",'Árvore de Localização'!$H:$H,'Árvore de Localização'!$G:$G,"0000",2)</f>
        <v>2101.A</v>
      </c>
      <c r="B30" s="38" t="str">
        <f>_xlfn.XLOOKUP(Tabela1[[#This Row],[Processo]],'Árvore de Localização'!$D:$D,'Árvore de Localização'!$B:$B,"",0,1)</f>
        <v>Utilidades</v>
      </c>
      <c r="C30" s="42" t="str">
        <f>_xlfn.XLOOKUP(Tabela1[[#This Row],[Processo]],'Árvore de Localização'!$D:$D,'Árvore de Localização'!$C:$C,"",0,1)</f>
        <v>Geração de Vapor</v>
      </c>
      <c r="D30" s="39" t="s">
        <v>3</v>
      </c>
      <c r="E30" s="19" t="s">
        <v>3</v>
      </c>
      <c r="F30" s="19">
        <v>1</v>
      </c>
      <c r="G30" s="101"/>
      <c r="H30" s="101"/>
      <c r="I30" s="112"/>
      <c r="J30" s="119"/>
      <c r="K30" s="52" t="str">
        <f>IF(OR(Tabela1[[#This Row],[Replan]]="",Tabela1[[#This Row],[Previsto (LB)]]=""),"",Tabela1[[#This Row],[Previsto (LB)]]-Tabela1[[#This Row],[Replan]])</f>
        <v/>
      </c>
      <c r="L30" s="20" t="s">
        <v>906</v>
      </c>
      <c r="M30" s="21"/>
      <c r="N30" s="25"/>
      <c r="O30" s="19"/>
      <c r="P30" s="19"/>
      <c r="Q30" s="19"/>
      <c r="R30" s="105"/>
      <c r="S30" s="38">
        <f t="shared" si="0"/>
        <v>3</v>
      </c>
      <c r="T30" s="24"/>
    </row>
    <row r="31" spans="1:20" s="11" customFormat="1" ht="12.5" x14ac:dyDescent="0.35">
      <c r="A31" s="18" t="str">
        <f>_xlfn.XLOOKUP("*"&amp;Tabela1[[#This Row],[Processo]]&amp;"*",'Árvore de Localização'!$H:$H,'Árvore de Localização'!$G:$G,"0000",2)</f>
        <v>2101.A</v>
      </c>
      <c r="B31" s="38" t="str">
        <f>_xlfn.XLOOKUP(Tabela1[[#This Row],[Processo]],'Árvore de Localização'!$D:$D,'Árvore de Localização'!$B:$B,"",0,1)</f>
        <v>Utilidades</v>
      </c>
      <c r="C31" s="42" t="str">
        <f>_xlfn.XLOOKUP(Tabela1[[#This Row],[Processo]],'Árvore de Localização'!$D:$D,'Árvore de Localização'!$C:$C,"",0,1)</f>
        <v>Geração de Vapor</v>
      </c>
      <c r="D31" s="39" t="s">
        <v>3</v>
      </c>
      <c r="E31" s="19" t="s">
        <v>3</v>
      </c>
      <c r="F31" s="19">
        <v>1</v>
      </c>
      <c r="G31" s="101"/>
      <c r="H31" s="101"/>
      <c r="I31" s="112"/>
      <c r="J31" s="119"/>
      <c r="K31" s="52" t="str">
        <f>IF(OR(Tabela1[[#This Row],[Replan]]="",Tabela1[[#This Row],[Previsto (LB)]]=""),"",Tabela1[[#This Row],[Previsto (LB)]]-Tabela1[[#This Row],[Replan]])</f>
        <v/>
      </c>
      <c r="L31" s="20" t="s">
        <v>897</v>
      </c>
      <c r="M31" s="21"/>
      <c r="N31" s="21"/>
      <c r="O31" s="19"/>
      <c r="P31" s="19"/>
      <c r="Q31" s="19"/>
      <c r="R31" s="105"/>
      <c r="S31" s="38">
        <f t="shared" si="0"/>
        <v>3</v>
      </c>
      <c r="T31" s="24"/>
    </row>
    <row r="32" spans="1:20" s="11" customFormat="1" ht="12.5" x14ac:dyDescent="0.35">
      <c r="A32" s="18" t="str">
        <f>_xlfn.XLOOKUP("*"&amp;Tabela1[[#This Row],[Processo]]&amp;"*",'Árvore de Localização'!$H:$H,'Árvore de Localização'!$G:$G,"0000",2)</f>
        <v>2101.A</v>
      </c>
      <c r="B32" s="38" t="str">
        <f>_xlfn.XLOOKUP(Tabela1[[#This Row],[Processo]],'Árvore de Localização'!$D:$D,'Árvore de Localização'!$B:$B,"",0,1)</f>
        <v>Utilidades</v>
      </c>
      <c r="C32" s="42" t="str">
        <f>_xlfn.XLOOKUP(Tabela1[[#This Row],[Processo]],'Árvore de Localização'!$D:$D,'Árvore de Localização'!$C:$C,"",0,1)</f>
        <v>Geração de Vapor</v>
      </c>
      <c r="D32" s="39" t="s">
        <v>3</v>
      </c>
      <c r="E32" s="19" t="s">
        <v>3</v>
      </c>
      <c r="F32" s="19">
        <v>1</v>
      </c>
      <c r="G32" s="101"/>
      <c r="H32" s="101"/>
      <c r="I32" s="112"/>
      <c r="J32" s="119"/>
      <c r="K32" s="52" t="str">
        <f>IF(OR(Tabela1[[#This Row],[Replan]]="",Tabela1[[#This Row],[Previsto (LB)]]=""),"",Tabela1[[#This Row],[Previsto (LB)]]-Tabela1[[#This Row],[Replan]])</f>
        <v/>
      </c>
      <c r="L32" s="20" t="s">
        <v>924</v>
      </c>
      <c r="M32" s="21"/>
      <c r="N32" s="25"/>
      <c r="O32" s="19"/>
      <c r="P32" s="19"/>
      <c r="Q32" s="19"/>
      <c r="R32" s="105"/>
      <c r="S32" s="38">
        <f t="shared" si="0"/>
        <v>3</v>
      </c>
      <c r="T32" s="24"/>
    </row>
    <row r="33" spans="1:23" s="11" customFormat="1" ht="12.5" x14ac:dyDescent="0.35">
      <c r="A33" s="18" t="str">
        <f>_xlfn.XLOOKUP("*"&amp;Tabela1[[#This Row],[Processo]]&amp;"*",'Árvore de Localização'!$H:$H,'Árvore de Localização'!$G:$G,"0000",2)</f>
        <v>2101.A</v>
      </c>
      <c r="B33" s="38" t="str">
        <f>_xlfn.XLOOKUP(Tabela1[[#This Row],[Processo]],'Árvore de Localização'!$D:$D,'Árvore de Localização'!$B:$B,"",0,1)</f>
        <v>Utilidades</v>
      </c>
      <c r="C33" s="42" t="str">
        <f>_xlfn.XLOOKUP(Tabela1[[#This Row],[Processo]],'Árvore de Localização'!$D:$D,'Árvore de Localização'!$C:$C,"",0,1)</f>
        <v>Geração de Vapor</v>
      </c>
      <c r="D33" s="39" t="s">
        <v>3</v>
      </c>
      <c r="E33" s="19" t="s">
        <v>3</v>
      </c>
      <c r="F33" s="19">
        <v>1</v>
      </c>
      <c r="G33" s="101"/>
      <c r="H33" s="101"/>
      <c r="I33" s="112"/>
      <c r="J33" s="119"/>
      <c r="K33" s="52" t="str">
        <f>IF(OR(Tabela1[[#This Row],[Replan]]="",Tabela1[[#This Row],[Previsto (LB)]]=""),"",Tabela1[[#This Row],[Previsto (LB)]]-Tabela1[[#This Row],[Replan]])</f>
        <v/>
      </c>
      <c r="L33" s="20" t="s">
        <v>889</v>
      </c>
      <c r="M33" s="21"/>
      <c r="N33" s="21"/>
      <c r="O33" s="19"/>
      <c r="P33" s="19"/>
      <c r="Q33" s="19"/>
      <c r="R33" s="105"/>
      <c r="S33" s="38">
        <f t="shared" si="0"/>
        <v>3</v>
      </c>
      <c r="T33" s="24"/>
    </row>
    <row r="34" spans="1:23" s="11" customFormat="1" ht="12.5" x14ac:dyDescent="0.35">
      <c r="A34" s="18" t="str">
        <f>_xlfn.XLOOKUP("*"&amp;Tabela1[[#This Row],[Processo]]&amp;"*",'Árvore de Localização'!$H:$H,'Árvore de Localização'!$G:$G,"0000",2)</f>
        <v>2101.A</v>
      </c>
      <c r="B34" s="38" t="str">
        <f>_xlfn.XLOOKUP(Tabela1[[#This Row],[Processo]],'Árvore de Localização'!$D:$D,'Árvore de Localização'!$B:$B,"",0,1)</f>
        <v>Utilidades</v>
      </c>
      <c r="C34" s="42" t="str">
        <f>_xlfn.XLOOKUP(Tabela1[[#This Row],[Processo]],'Árvore de Localização'!$D:$D,'Árvore de Localização'!$C:$C,"",0,1)</f>
        <v>Geração de Vapor</v>
      </c>
      <c r="D34" s="39" t="s">
        <v>3</v>
      </c>
      <c r="E34" s="19" t="s">
        <v>3</v>
      </c>
      <c r="F34" s="19">
        <v>1</v>
      </c>
      <c r="G34" s="101"/>
      <c r="H34" s="101"/>
      <c r="I34" s="112"/>
      <c r="J34" s="119"/>
      <c r="K34" s="52" t="str">
        <f>IF(OR(Tabela1[[#This Row],[Replan]]="",Tabela1[[#This Row],[Previsto (LB)]]=""),"",Tabela1[[#This Row],[Previsto (LB)]]-Tabela1[[#This Row],[Replan]])</f>
        <v/>
      </c>
      <c r="L34" s="20" t="s">
        <v>898</v>
      </c>
      <c r="M34" s="21"/>
      <c r="N34" s="21"/>
      <c r="O34" s="19"/>
      <c r="P34" s="19"/>
      <c r="Q34" s="19"/>
      <c r="R34" s="105"/>
      <c r="S34" s="38">
        <f t="shared" ref="S34:S35" si="1">IF(R34="Não iniciado",1,IF(R34="Em andamento",2,3))</f>
        <v>3</v>
      </c>
      <c r="T34" s="27"/>
    </row>
    <row r="35" spans="1:23" s="11" customFormat="1" ht="12.5" x14ac:dyDescent="0.35">
      <c r="A35" s="18" t="str">
        <f>_xlfn.XLOOKUP("*"&amp;Tabela1[[#This Row],[Processo]]&amp;"*",'Árvore de Localização'!$H:$H,'Árvore de Localização'!$G:$G,"0000",2)</f>
        <v>2101.A</v>
      </c>
      <c r="B35" s="38" t="str">
        <f>_xlfn.XLOOKUP(Tabela1[[#This Row],[Processo]],'Árvore de Localização'!$D:$D,'Árvore de Localização'!$B:$B,"",0,1)</f>
        <v>Utilidades</v>
      </c>
      <c r="C35" s="42" t="str">
        <f>_xlfn.XLOOKUP(Tabela1[[#This Row],[Processo]],'Árvore de Localização'!$D:$D,'Árvore de Localização'!$C:$C,"",0,1)</f>
        <v>Geração de Vapor</v>
      </c>
      <c r="D35" s="39" t="s">
        <v>3</v>
      </c>
      <c r="E35" s="19" t="s">
        <v>3</v>
      </c>
      <c r="F35" s="19">
        <v>1</v>
      </c>
      <c r="G35" s="101"/>
      <c r="H35" s="101"/>
      <c r="I35" s="112"/>
      <c r="J35" s="119"/>
      <c r="K35" s="52" t="str">
        <f>IF(OR(Tabela1[[#This Row],[Replan]]="",Tabela1[[#This Row],[Previsto (LB)]]=""),"",Tabela1[[#This Row],[Previsto (LB)]]-Tabela1[[#This Row],[Replan]])</f>
        <v/>
      </c>
      <c r="L35" s="20" t="s">
        <v>890</v>
      </c>
      <c r="M35" s="21"/>
      <c r="N35" s="21"/>
      <c r="O35" s="19"/>
      <c r="P35" s="19"/>
      <c r="Q35" s="19"/>
      <c r="R35" s="105"/>
      <c r="S35" s="38">
        <f t="shared" si="1"/>
        <v>3</v>
      </c>
      <c r="T35" s="27"/>
    </row>
    <row r="36" spans="1:23" s="11" customFormat="1" ht="12.5" x14ac:dyDescent="0.35">
      <c r="A36" s="18" t="str">
        <f>_xlfn.XLOOKUP("*"&amp;Tabela1[[#This Row],[Processo]]&amp;"*",'Árvore de Localização'!$H:$H,'Árvore de Localização'!$G:$G,"0000",2)</f>
        <v>2101.A</v>
      </c>
      <c r="B36" s="38" t="str">
        <f>_xlfn.XLOOKUP(Tabela1[[#This Row],[Processo]],'Árvore de Localização'!$D:$D,'Árvore de Localização'!$B:$B,"",0,1)</f>
        <v>Utilidades</v>
      </c>
      <c r="C36" s="42" t="str">
        <f>_xlfn.XLOOKUP(Tabela1[[#This Row],[Processo]],'Árvore de Localização'!$D:$D,'Árvore de Localização'!$C:$C,"",0,1)</f>
        <v>Geração de Vapor</v>
      </c>
      <c r="D36" s="39" t="s">
        <v>3</v>
      </c>
      <c r="E36" s="19" t="s">
        <v>3</v>
      </c>
      <c r="F36" s="19">
        <v>1</v>
      </c>
      <c r="G36" s="101"/>
      <c r="H36" s="101"/>
      <c r="I36" s="112"/>
      <c r="J36" s="119"/>
      <c r="K36" s="52" t="str">
        <f>IF(OR(Tabela1[[#This Row],[Replan]]="",Tabela1[[#This Row],[Previsto (LB)]]=""),"",Tabela1[[#This Row],[Previsto (LB)]]-Tabela1[[#This Row],[Replan]])</f>
        <v/>
      </c>
      <c r="L36" s="20" t="s">
        <v>907</v>
      </c>
      <c r="M36" s="21"/>
      <c r="N36" s="21"/>
      <c r="O36" s="19"/>
      <c r="P36" s="19"/>
      <c r="Q36" s="19"/>
      <c r="R36" s="105"/>
      <c r="S36" s="38">
        <f t="shared" ref="S36:S37" si="2">IF(R36="Não iniciado",1,IF(R36="Em andamento",2,3))</f>
        <v>3</v>
      </c>
      <c r="T36" s="27"/>
    </row>
    <row r="37" spans="1:23" s="11" customFormat="1" ht="12.5" x14ac:dyDescent="0.35">
      <c r="A37" s="18" t="str">
        <f>_xlfn.XLOOKUP("*"&amp;Tabela1[[#This Row],[Processo]]&amp;"*",'Árvore de Localização'!$H:$H,'Árvore de Localização'!$G:$G,"0000",2)</f>
        <v>2101.A</v>
      </c>
      <c r="B37" s="38" t="str">
        <f>_xlfn.XLOOKUP(Tabela1[[#This Row],[Processo]],'Árvore de Localização'!$D:$D,'Árvore de Localização'!$B:$B,"",0,1)</f>
        <v>Utilidades</v>
      </c>
      <c r="C37" s="42" t="str">
        <f>_xlfn.XLOOKUP(Tabela1[[#This Row],[Processo]],'Árvore de Localização'!$D:$D,'Árvore de Localização'!$C:$C,"",0,1)</f>
        <v>Geração de Vapor</v>
      </c>
      <c r="D37" s="39" t="s">
        <v>3</v>
      </c>
      <c r="E37" s="19" t="s">
        <v>3</v>
      </c>
      <c r="F37" s="19">
        <v>1</v>
      </c>
      <c r="G37" s="101"/>
      <c r="H37" s="101"/>
      <c r="I37" s="112"/>
      <c r="J37" s="119"/>
      <c r="K37" s="52" t="str">
        <f>IF(OR(Tabela1[[#This Row],[Replan]]="",Tabela1[[#This Row],[Previsto (LB)]]=""),"",Tabela1[[#This Row],[Previsto (LB)]]-Tabela1[[#This Row],[Replan]])</f>
        <v/>
      </c>
      <c r="L37" s="20" t="s">
        <v>899</v>
      </c>
      <c r="M37" s="21"/>
      <c r="N37" s="21"/>
      <c r="O37" s="19"/>
      <c r="P37" s="19"/>
      <c r="Q37" s="19"/>
      <c r="R37" s="105"/>
      <c r="S37" s="38">
        <f t="shared" si="2"/>
        <v>3</v>
      </c>
      <c r="T37" s="27"/>
    </row>
    <row r="38" spans="1:23" s="11" customFormat="1" ht="12.5" x14ac:dyDescent="0.35">
      <c r="A38" s="18" t="str">
        <f>_xlfn.XLOOKUP("*"&amp;Tabela1[[#This Row],[Processo]]&amp;"*",'Árvore de Localização'!$H:$H,'Árvore de Localização'!$G:$G,"0000",2)</f>
        <v>2101.A</v>
      </c>
      <c r="B38" s="38" t="str">
        <f>_xlfn.XLOOKUP(Tabela1[[#This Row],[Processo]],'Árvore de Localização'!$D:$D,'Árvore de Localização'!$B:$B,"",0,1)</f>
        <v>Utilidades</v>
      </c>
      <c r="C38" s="42" t="str">
        <f>_xlfn.XLOOKUP(Tabela1[[#This Row],[Processo]],'Árvore de Localização'!$D:$D,'Árvore de Localização'!$C:$C,"",0,1)</f>
        <v>Geração de Vapor</v>
      </c>
      <c r="D38" s="39" t="s">
        <v>3</v>
      </c>
      <c r="E38" s="19" t="s">
        <v>3</v>
      </c>
      <c r="F38" s="19">
        <v>1</v>
      </c>
      <c r="G38" s="101"/>
      <c r="H38" s="101"/>
      <c r="I38" s="112"/>
      <c r="J38" s="119"/>
      <c r="K38" s="52" t="str">
        <f>IF(OR(Tabela1[[#This Row],[Replan]]="",Tabela1[[#This Row],[Previsto (LB)]]=""),"",Tabela1[[#This Row],[Previsto (LB)]]-Tabela1[[#This Row],[Replan]])</f>
        <v/>
      </c>
      <c r="L38" s="20" t="s">
        <v>891</v>
      </c>
      <c r="M38" s="21"/>
      <c r="N38" s="21"/>
      <c r="O38" s="19"/>
      <c r="P38" s="19"/>
      <c r="Q38" s="19"/>
      <c r="R38" s="105"/>
      <c r="S38" s="38">
        <f>IF(R38="Não iniciado",1,IF(R38="Em andamento",2,3))</f>
        <v>3</v>
      </c>
      <c r="T38" s="27"/>
    </row>
    <row r="39" spans="1:23" s="11" customFormat="1" ht="12.5" x14ac:dyDescent="0.35">
      <c r="A39" s="18" t="str">
        <f>_xlfn.XLOOKUP("*"&amp;Tabela1[[#This Row],[Processo]]&amp;"*",'Árvore de Localização'!$H:$H,'Árvore de Localização'!$G:$G,"0000",2)</f>
        <v>2104.A</v>
      </c>
      <c r="B39" s="38" t="str">
        <f>_xlfn.XLOOKUP(Tabela1[[#This Row],[Processo]],'Árvore de Localização'!$D:$D,'Árvore de Localização'!$B:$B,"",0,1)</f>
        <v>Utilidades</v>
      </c>
      <c r="C39" s="42" t="str">
        <f>_xlfn.XLOOKUP(Tabela1[[#This Row],[Processo]],'Árvore de Localização'!$D:$D,'Árvore de Localização'!$C:$C,"",0,1)</f>
        <v>Geração de Energia</v>
      </c>
      <c r="D39" s="39" t="s">
        <v>32</v>
      </c>
      <c r="E39" s="19" t="s">
        <v>32</v>
      </c>
      <c r="F39" s="19" t="s">
        <v>43</v>
      </c>
      <c r="G39" s="101"/>
      <c r="H39" s="101"/>
      <c r="I39" s="112"/>
      <c r="J39" s="119"/>
      <c r="K39" s="52" t="str">
        <f>IF(OR(Tabela1[[#This Row],[Replan]]="",Tabela1[[#This Row],[Previsto (LB)]]=""),"",Tabela1[[#This Row],[Previsto (LB)]]-Tabela1[[#This Row],[Replan]])</f>
        <v/>
      </c>
      <c r="L39" s="20" t="s">
        <v>936</v>
      </c>
      <c r="M39" s="21"/>
      <c r="N39" s="21"/>
      <c r="O39" s="19"/>
      <c r="P39" s="19"/>
      <c r="Q39" s="19"/>
      <c r="R39" s="105"/>
      <c r="S39" s="38">
        <f t="shared" si="0"/>
        <v>3</v>
      </c>
      <c r="T39" s="23"/>
      <c r="W39" s="12"/>
    </row>
    <row r="40" spans="1:23" s="11" customFormat="1" ht="12.5" x14ac:dyDescent="0.35">
      <c r="A40" s="18" t="str">
        <f>_xlfn.XLOOKUP("*"&amp;Tabela1[[#This Row],[Processo]]&amp;"*",'Árvore de Localização'!$H:$H,'Árvore de Localização'!$G:$G,"0000",2)</f>
        <v>2104.A</v>
      </c>
      <c r="B40" s="38" t="str">
        <f>_xlfn.XLOOKUP(Tabela1[[#This Row],[Processo]],'Árvore de Localização'!$D:$D,'Árvore de Localização'!$B:$B,"",0,1)</f>
        <v>Utilidades</v>
      </c>
      <c r="C40" s="42" t="str">
        <f>_xlfn.XLOOKUP(Tabela1[[#This Row],[Processo]],'Árvore de Localização'!$D:$D,'Árvore de Localização'!$C:$C,"",0,1)</f>
        <v>Geração de Energia</v>
      </c>
      <c r="D40" s="39" t="s">
        <v>32</v>
      </c>
      <c r="E40" s="19" t="s">
        <v>32</v>
      </c>
      <c r="F40" s="19" t="s">
        <v>43</v>
      </c>
      <c r="G40" s="101"/>
      <c r="H40" s="101"/>
      <c r="I40" s="112"/>
      <c r="J40" s="119"/>
      <c r="K40" s="52" t="str">
        <f>IF(OR(Tabela1[[#This Row],[Replan]]="",Tabela1[[#This Row],[Previsto (LB)]]=""),"",Tabela1[[#This Row],[Previsto (LB)]]-Tabela1[[#This Row],[Replan]])</f>
        <v/>
      </c>
      <c r="L40" s="20" t="s">
        <v>945</v>
      </c>
      <c r="M40" s="21"/>
      <c r="N40" s="21"/>
      <c r="O40" s="19"/>
      <c r="P40" s="19"/>
      <c r="Q40" s="19"/>
      <c r="R40" s="105"/>
      <c r="S40" s="38">
        <f t="shared" si="0"/>
        <v>3</v>
      </c>
      <c r="T40" s="23"/>
      <c r="W40" s="12"/>
    </row>
    <row r="41" spans="1:23" s="11" customFormat="1" ht="12.5" x14ac:dyDescent="0.35">
      <c r="A41" s="18" t="str">
        <f>_xlfn.XLOOKUP("*"&amp;Tabela1[[#This Row],[Processo]]&amp;"*",'Árvore de Localização'!$H:$H,'Árvore de Localização'!$G:$G,"0000",2)</f>
        <v>2104.A</v>
      </c>
      <c r="B41" s="38" t="str">
        <f>_xlfn.XLOOKUP(Tabela1[[#This Row],[Processo]],'Árvore de Localização'!$D:$D,'Árvore de Localização'!$B:$B,"",0,1)</f>
        <v>Utilidades</v>
      </c>
      <c r="C41" s="42" t="str">
        <f>_xlfn.XLOOKUP(Tabela1[[#This Row],[Processo]],'Árvore de Localização'!$D:$D,'Árvore de Localização'!$C:$C,"",0,1)</f>
        <v>Geração de Energia</v>
      </c>
      <c r="D41" s="39" t="s">
        <v>32</v>
      </c>
      <c r="E41" s="19" t="s">
        <v>32</v>
      </c>
      <c r="F41" s="19" t="s">
        <v>43</v>
      </c>
      <c r="G41" s="101"/>
      <c r="H41" s="101"/>
      <c r="I41" s="112"/>
      <c r="J41" s="119"/>
      <c r="K41" s="52" t="str">
        <f>IF(OR(Tabela1[[#This Row],[Replan]]="",Tabela1[[#This Row],[Previsto (LB)]]=""),"",Tabela1[[#This Row],[Previsto (LB)]]-Tabela1[[#This Row],[Replan]])</f>
        <v/>
      </c>
      <c r="L41" s="20" t="s">
        <v>937</v>
      </c>
      <c r="M41" s="21"/>
      <c r="N41" s="21"/>
      <c r="O41" s="19"/>
      <c r="P41" s="19"/>
      <c r="Q41" s="19"/>
      <c r="R41" s="105"/>
      <c r="S41" s="38">
        <f t="shared" si="0"/>
        <v>3</v>
      </c>
      <c r="T41" s="23"/>
      <c r="W41" s="12"/>
    </row>
    <row r="42" spans="1:23" s="11" customFormat="1" ht="12.5" x14ac:dyDescent="0.35">
      <c r="A42" s="18" t="str">
        <f>_xlfn.XLOOKUP("*"&amp;Tabela1[[#This Row],[Processo]]&amp;"*",'Árvore de Localização'!$H:$H,'Árvore de Localização'!$G:$G,"0000",2)</f>
        <v>2104.A</v>
      </c>
      <c r="B42" s="38" t="str">
        <f>_xlfn.XLOOKUP(Tabela1[[#This Row],[Processo]],'Árvore de Localização'!$D:$D,'Árvore de Localização'!$B:$B,"",0,1)</f>
        <v>Utilidades</v>
      </c>
      <c r="C42" s="42" t="str">
        <f>_xlfn.XLOOKUP(Tabela1[[#This Row],[Processo]],'Árvore de Localização'!$D:$D,'Árvore de Localização'!$C:$C,"",0,1)</f>
        <v>Geração de Energia</v>
      </c>
      <c r="D42" s="39" t="s">
        <v>32</v>
      </c>
      <c r="E42" s="19" t="s">
        <v>32</v>
      </c>
      <c r="F42" s="19" t="s">
        <v>43</v>
      </c>
      <c r="G42" s="101"/>
      <c r="H42" s="101"/>
      <c r="I42" s="112"/>
      <c r="J42" s="119"/>
      <c r="K42" s="52" t="str">
        <f>IF(OR(Tabela1[[#This Row],[Replan]]="",Tabela1[[#This Row],[Previsto (LB)]]=""),"",Tabela1[[#This Row],[Previsto (LB)]]-Tabela1[[#This Row],[Replan]])</f>
        <v/>
      </c>
      <c r="L42" s="20" t="s">
        <v>938</v>
      </c>
      <c r="M42" s="21"/>
      <c r="N42" s="21"/>
      <c r="O42" s="19"/>
      <c r="P42" s="19"/>
      <c r="Q42" s="19"/>
      <c r="R42" s="105"/>
      <c r="S42" s="38">
        <f t="shared" si="0"/>
        <v>3</v>
      </c>
      <c r="T42" s="23"/>
      <c r="W42" s="12"/>
    </row>
    <row r="43" spans="1:23" s="11" customFormat="1" ht="12.5" x14ac:dyDescent="0.35">
      <c r="A43" s="18" t="str">
        <f>_xlfn.XLOOKUP("*"&amp;Tabela1[[#This Row],[Processo]]&amp;"*",'Árvore de Localização'!$H:$H,'Árvore de Localização'!$G:$G,"0000",2)</f>
        <v>2104.A</v>
      </c>
      <c r="B43" s="38" t="str">
        <f>_xlfn.XLOOKUP(Tabela1[[#This Row],[Processo]],'Árvore de Localização'!$D:$D,'Árvore de Localização'!$B:$B,"",0,1)</f>
        <v>Utilidades</v>
      </c>
      <c r="C43" s="42" t="str">
        <f>_xlfn.XLOOKUP(Tabela1[[#This Row],[Processo]],'Árvore de Localização'!$D:$D,'Árvore de Localização'!$C:$C,"",0,1)</f>
        <v>Geração de Energia</v>
      </c>
      <c r="D43" s="39" t="s">
        <v>32</v>
      </c>
      <c r="E43" s="19" t="s">
        <v>32</v>
      </c>
      <c r="F43" s="19" t="s">
        <v>43</v>
      </c>
      <c r="G43" s="101"/>
      <c r="H43" s="101"/>
      <c r="I43" s="112"/>
      <c r="J43" s="119"/>
      <c r="K43" s="52" t="str">
        <f>IF(OR(Tabela1[[#This Row],[Replan]]="",Tabela1[[#This Row],[Previsto (LB)]]=""),"",Tabela1[[#This Row],[Previsto (LB)]]-Tabela1[[#This Row],[Replan]])</f>
        <v/>
      </c>
      <c r="L43" s="20" t="s">
        <v>954</v>
      </c>
      <c r="M43" s="21"/>
      <c r="N43" s="21"/>
      <c r="O43" s="19"/>
      <c r="P43" s="19"/>
      <c r="Q43" s="19"/>
      <c r="R43" s="105"/>
      <c r="S43" s="38">
        <f t="shared" ref="S43:S44" si="3">IF(R43="Não iniciado",1,IF(R43="Em andamento",2,3))</f>
        <v>3</v>
      </c>
      <c r="T43" s="27"/>
      <c r="W43" s="12"/>
    </row>
    <row r="44" spans="1:23" s="11" customFormat="1" ht="12.5" x14ac:dyDescent="0.35">
      <c r="A44" s="18" t="str">
        <f>_xlfn.XLOOKUP("*"&amp;Tabela1[[#This Row],[Processo]]&amp;"*",'Árvore de Localização'!$H:$H,'Árvore de Localização'!$G:$G,"0000",2)</f>
        <v>2104.A</v>
      </c>
      <c r="B44" s="38" t="str">
        <f>_xlfn.XLOOKUP(Tabela1[[#This Row],[Processo]],'Árvore de Localização'!$D:$D,'Árvore de Localização'!$B:$B,"",0,1)</f>
        <v>Utilidades</v>
      </c>
      <c r="C44" s="42" t="str">
        <f>_xlfn.XLOOKUP(Tabela1[[#This Row],[Processo]],'Árvore de Localização'!$D:$D,'Árvore de Localização'!$C:$C,"",0,1)</f>
        <v>Geração de Energia</v>
      </c>
      <c r="D44" s="39" t="s">
        <v>32</v>
      </c>
      <c r="E44" s="19" t="s">
        <v>32</v>
      </c>
      <c r="F44" s="19" t="s">
        <v>43</v>
      </c>
      <c r="G44" s="101"/>
      <c r="H44" s="101"/>
      <c r="I44" s="112"/>
      <c r="J44" s="119"/>
      <c r="K44" s="52" t="str">
        <f>IF(OR(Tabela1[[#This Row],[Replan]]="",Tabela1[[#This Row],[Previsto (LB)]]=""),"",Tabela1[[#This Row],[Previsto (LB)]]-Tabela1[[#This Row],[Replan]])</f>
        <v/>
      </c>
      <c r="L44" s="20" t="s">
        <v>946</v>
      </c>
      <c r="M44" s="21"/>
      <c r="N44" s="21"/>
      <c r="O44" s="19"/>
      <c r="P44" s="19"/>
      <c r="Q44" s="19"/>
      <c r="R44" s="105"/>
      <c r="S44" s="38">
        <f t="shared" si="3"/>
        <v>3</v>
      </c>
      <c r="T44" s="27"/>
      <c r="W44" s="12"/>
    </row>
    <row r="45" spans="1:23" s="11" customFormat="1" ht="12.5" x14ac:dyDescent="0.35">
      <c r="A45" s="18" t="str">
        <f>_xlfn.XLOOKUP("*"&amp;Tabela1[[#This Row],[Processo]]&amp;"*",'Árvore de Localização'!$H:$H,'Árvore de Localização'!$G:$G,"0000",2)</f>
        <v>2104.A</v>
      </c>
      <c r="B45" s="38" t="str">
        <f>_xlfn.XLOOKUP(Tabela1[[#This Row],[Processo]],'Árvore de Localização'!$D:$D,'Árvore de Localização'!$B:$B,"",0,1)</f>
        <v>Utilidades</v>
      </c>
      <c r="C45" s="42" t="str">
        <f>_xlfn.XLOOKUP(Tabela1[[#This Row],[Processo]],'Árvore de Localização'!$D:$D,'Árvore de Localização'!$C:$C,"",0,1)</f>
        <v>Geração de Energia</v>
      </c>
      <c r="D45" s="39" t="s">
        <v>32</v>
      </c>
      <c r="E45" s="19" t="s">
        <v>32</v>
      </c>
      <c r="F45" s="19" t="s">
        <v>43</v>
      </c>
      <c r="G45" s="101"/>
      <c r="H45" s="101"/>
      <c r="I45" s="112"/>
      <c r="J45" s="119"/>
      <c r="K45" s="52" t="str">
        <f>IF(OR(Tabela1[[#This Row],[Replan]]="",Tabela1[[#This Row],[Previsto (LB)]]=""),"",Tabela1[[#This Row],[Previsto (LB)]]-Tabela1[[#This Row],[Replan]])</f>
        <v/>
      </c>
      <c r="L45" s="20" t="s">
        <v>939</v>
      </c>
      <c r="M45" s="21"/>
      <c r="N45" s="21"/>
      <c r="O45" s="19"/>
      <c r="P45" s="19"/>
      <c r="Q45" s="19"/>
      <c r="R45" s="105"/>
      <c r="S45" s="38">
        <f>IF(R45="Não iniciado",1,IF(R45="Em andamento",2,3))</f>
        <v>3</v>
      </c>
      <c r="T45" s="27"/>
      <c r="W45" s="12"/>
    </row>
    <row r="46" spans="1:23" s="11" customFormat="1" ht="12.5" x14ac:dyDescent="0.35">
      <c r="A46" s="18" t="str">
        <f>_xlfn.XLOOKUP("*"&amp;Tabela1[[#This Row],[Processo]]&amp;"*",'Árvore de Localização'!$H:$H,'Árvore de Localização'!$G:$G,"0000",2)</f>
        <v>2127.A</v>
      </c>
      <c r="B46" s="38" t="str">
        <f>_xlfn.XLOOKUP(Tabela1[[#This Row],[Processo]],'Árvore de Localização'!$D:$D,'Árvore de Localização'!$B:$B,"",0,1)</f>
        <v>Etanol</v>
      </c>
      <c r="C46" s="42" t="str">
        <f>_xlfn.XLOOKUP(Tabela1[[#This Row],[Processo]],'Árvore de Localização'!$D:$D,'Árvore de Localização'!$C:$C,"",0,1)</f>
        <v>Armazenamento e Expedição de Etanol</v>
      </c>
      <c r="D46" s="39" t="s">
        <v>169</v>
      </c>
      <c r="E46" s="22" t="s">
        <v>372</v>
      </c>
      <c r="F46" s="22" t="s">
        <v>43</v>
      </c>
      <c r="G46" s="101"/>
      <c r="H46" s="101"/>
      <c r="I46" s="112"/>
      <c r="J46" s="119"/>
      <c r="K46" s="52" t="str">
        <f>IF(OR(Tabela1[[#This Row],[Replan]]="",Tabela1[[#This Row],[Previsto (LB)]]=""),"",Tabela1[[#This Row],[Previsto (LB)]]-Tabela1[[#This Row],[Replan]])</f>
        <v/>
      </c>
      <c r="L46" s="20" t="s">
        <v>648</v>
      </c>
      <c r="M46" s="25"/>
      <c r="N46" s="21"/>
      <c r="O46" s="19"/>
      <c r="P46" s="19"/>
      <c r="Q46" s="19"/>
      <c r="R46" s="105"/>
      <c r="S46" s="38">
        <f t="shared" si="0"/>
        <v>3</v>
      </c>
      <c r="T46" s="23"/>
    </row>
    <row r="47" spans="1:23" s="11" customFormat="1" ht="12.5" x14ac:dyDescent="0.35">
      <c r="A47" s="18" t="str">
        <f>_xlfn.XLOOKUP("*"&amp;Tabela1[[#This Row],[Processo]]&amp;"*",'Árvore de Localização'!$H:$H,'Árvore de Localização'!$G:$G,"0000",2)</f>
        <v>2127.A</v>
      </c>
      <c r="B47" s="38" t="str">
        <f>_xlfn.XLOOKUP(Tabela1[[#This Row],[Processo]],'Árvore de Localização'!$D:$D,'Árvore de Localização'!$B:$B,"",0,1)</f>
        <v>Etanol</v>
      </c>
      <c r="C47" s="42" t="str">
        <f>_xlfn.XLOOKUP(Tabela1[[#This Row],[Processo]],'Árvore de Localização'!$D:$D,'Árvore de Localização'!$C:$C,"",0,1)</f>
        <v>Armazenamento e Expedição de Etanol</v>
      </c>
      <c r="D47" s="39" t="s">
        <v>169</v>
      </c>
      <c r="E47" s="22" t="s">
        <v>372</v>
      </c>
      <c r="F47" s="22" t="s">
        <v>43</v>
      </c>
      <c r="G47" s="101"/>
      <c r="H47" s="101"/>
      <c r="I47" s="112"/>
      <c r="J47" s="119"/>
      <c r="K47" s="52" t="str">
        <f>IF(OR(Tabela1[[#This Row],[Replan]]="",Tabela1[[#This Row],[Previsto (LB)]]=""),"",Tabela1[[#This Row],[Previsto (LB)]]-Tabela1[[#This Row],[Replan]])</f>
        <v/>
      </c>
      <c r="L47" s="20" t="s">
        <v>649</v>
      </c>
      <c r="M47" s="21"/>
      <c r="N47" s="21"/>
      <c r="O47" s="19"/>
      <c r="P47" s="19"/>
      <c r="Q47" s="19"/>
      <c r="R47" s="105"/>
      <c r="S47" s="38">
        <f t="shared" si="0"/>
        <v>3</v>
      </c>
      <c r="T47" s="23"/>
    </row>
    <row r="48" spans="1:23" s="11" customFormat="1" ht="12.5" x14ac:dyDescent="0.35">
      <c r="A48" s="18" t="str">
        <f>_xlfn.XLOOKUP("*"&amp;Tabela1[[#This Row],[Processo]]&amp;"*",'Árvore de Localização'!$H:$H,'Árvore de Localização'!$G:$G,"0000",2)</f>
        <v>2127.A</v>
      </c>
      <c r="B48" s="38" t="str">
        <f>_xlfn.XLOOKUP(Tabela1[[#This Row],[Processo]],'Árvore de Localização'!$D:$D,'Árvore de Localização'!$B:$B,"",0,1)</f>
        <v>Etanol</v>
      </c>
      <c r="C48" s="42" t="str">
        <f>_xlfn.XLOOKUP(Tabela1[[#This Row],[Processo]],'Árvore de Localização'!$D:$D,'Árvore de Localização'!$C:$C,"",0,1)</f>
        <v>Armazenamento e Expedição de Etanol</v>
      </c>
      <c r="D48" s="39" t="s">
        <v>169</v>
      </c>
      <c r="E48" s="22" t="s">
        <v>372</v>
      </c>
      <c r="F48" s="22" t="s">
        <v>43</v>
      </c>
      <c r="G48" s="101"/>
      <c r="H48" s="101"/>
      <c r="I48" s="112"/>
      <c r="J48" s="119"/>
      <c r="K48" s="52" t="str">
        <f>IF(OR(Tabela1[[#This Row],[Replan]]="",Tabela1[[#This Row],[Previsto (LB)]]=""),"",Tabela1[[#This Row],[Previsto (LB)]]-Tabela1[[#This Row],[Replan]])</f>
        <v/>
      </c>
      <c r="L48" s="20" t="s">
        <v>666</v>
      </c>
      <c r="M48" s="21"/>
      <c r="N48" s="21"/>
      <c r="O48" s="19"/>
      <c r="P48" s="19"/>
      <c r="Q48" s="19"/>
      <c r="R48" s="105"/>
      <c r="S48" s="38">
        <f t="shared" si="0"/>
        <v>3</v>
      </c>
      <c r="T48" s="23"/>
    </row>
    <row r="49" spans="1:108" s="11" customFormat="1" ht="12.5" x14ac:dyDescent="0.35">
      <c r="A49" s="18" t="str">
        <f>_xlfn.XLOOKUP("*"&amp;Tabela1[[#This Row],[Processo]]&amp;"*",'Árvore de Localização'!$H:$H,'Árvore de Localização'!$G:$G,"0000",2)</f>
        <v>2127.A</v>
      </c>
      <c r="B49" s="38" t="str">
        <f>_xlfn.XLOOKUP(Tabela1[[#This Row],[Processo]],'Árvore de Localização'!$D:$D,'Árvore de Localização'!$B:$B,"",0,1)</f>
        <v>Etanol</v>
      </c>
      <c r="C49" s="42" t="str">
        <f>_xlfn.XLOOKUP(Tabela1[[#This Row],[Processo]],'Árvore de Localização'!$D:$D,'Árvore de Localização'!$C:$C,"",0,1)</f>
        <v>Armazenamento e Expedição de Etanol</v>
      </c>
      <c r="D49" s="39" t="s">
        <v>169</v>
      </c>
      <c r="E49" s="22" t="s">
        <v>372</v>
      </c>
      <c r="F49" s="22" t="s">
        <v>43</v>
      </c>
      <c r="G49" s="101"/>
      <c r="H49" s="101"/>
      <c r="I49" s="112"/>
      <c r="J49" s="119"/>
      <c r="K49" s="52" t="str">
        <f>IF(OR(Tabela1[[#This Row],[Replan]]="",Tabela1[[#This Row],[Previsto (LB)]]=""),"",Tabela1[[#This Row],[Previsto (LB)]]-Tabela1[[#This Row],[Replan]])</f>
        <v/>
      </c>
      <c r="L49" s="20" t="s">
        <v>657</v>
      </c>
      <c r="M49" s="21"/>
      <c r="N49" s="21"/>
      <c r="O49" s="19"/>
      <c r="P49" s="19"/>
      <c r="Q49" s="19"/>
      <c r="R49" s="105"/>
      <c r="S49" s="38">
        <f t="shared" si="0"/>
        <v>3</v>
      </c>
      <c r="T49" s="23"/>
    </row>
    <row r="50" spans="1:108" s="11" customFormat="1" ht="12.5" x14ac:dyDescent="0.35">
      <c r="A50" s="18" t="str">
        <f>_xlfn.XLOOKUP("*"&amp;Tabela1[[#This Row],[Processo]]&amp;"*",'Árvore de Localização'!$H:$H,'Árvore de Localização'!$G:$G,"0000",2)</f>
        <v>2127.A</v>
      </c>
      <c r="B50" s="38" t="str">
        <f>_xlfn.XLOOKUP(Tabela1[[#This Row],[Processo]],'Árvore de Localização'!$D:$D,'Árvore de Localização'!$B:$B,"",0,1)</f>
        <v>Etanol</v>
      </c>
      <c r="C50" s="42" t="str">
        <f>_xlfn.XLOOKUP(Tabela1[[#This Row],[Processo]],'Árvore de Localização'!$D:$D,'Árvore de Localização'!$C:$C,"",0,1)</f>
        <v>Armazenamento e Expedição de Etanol</v>
      </c>
      <c r="D50" s="39" t="s">
        <v>169</v>
      </c>
      <c r="E50" s="22" t="s">
        <v>372</v>
      </c>
      <c r="F50" s="22" t="s">
        <v>43</v>
      </c>
      <c r="G50" s="101"/>
      <c r="H50" s="101"/>
      <c r="I50" s="112"/>
      <c r="J50" s="119"/>
      <c r="K50" s="52" t="str">
        <f>IF(OR(Tabela1[[#This Row],[Replan]]="",Tabela1[[#This Row],[Previsto (LB)]]=""),"",Tabela1[[#This Row],[Previsto (LB)]]-Tabela1[[#This Row],[Replan]])</f>
        <v/>
      </c>
      <c r="L50" s="20" t="s">
        <v>650</v>
      </c>
      <c r="M50" s="25"/>
      <c r="N50" s="21"/>
      <c r="O50" s="19"/>
      <c r="P50" s="19"/>
      <c r="Q50" s="19"/>
      <c r="R50" s="105"/>
      <c r="S50" s="38">
        <f t="shared" ref="S50:S51" si="4">IF(R50="Não iniciado",1,IF(R50="Em andamento",2,3))</f>
        <v>3</v>
      </c>
      <c r="T50" s="27"/>
    </row>
    <row r="51" spans="1:108" s="11" customFormat="1" ht="12.5" x14ac:dyDescent="0.35">
      <c r="A51" s="18" t="str">
        <f>_xlfn.XLOOKUP("*"&amp;Tabela1[[#This Row],[Processo]]&amp;"*",'Árvore de Localização'!$H:$H,'Árvore de Localização'!$G:$G,"0000",2)</f>
        <v>2127.A</v>
      </c>
      <c r="B51" s="38" t="str">
        <f>_xlfn.XLOOKUP(Tabela1[[#This Row],[Processo]],'Árvore de Localização'!$D:$D,'Árvore de Localização'!$B:$B,"",0,1)</f>
        <v>Etanol</v>
      </c>
      <c r="C51" s="42" t="str">
        <f>_xlfn.XLOOKUP(Tabela1[[#This Row],[Processo]],'Árvore de Localização'!$D:$D,'Árvore de Localização'!$C:$C,"",0,1)</f>
        <v>Armazenamento e Expedição de Etanol</v>
      </c>
      <c r="D51" s="39" t="s">
        <v>169</v>
      </c>
      <c r="E51" s="22" t="s">
        <v>372</v>
      </c>
      <c r="F51" s="22" t="s">
        <v>43</v>
      </c>
      <c r="G51" s="101"/>
      <c r="H51" s="101"/>
      <c r="I51" s="112"/>
      <c r="J51" s="119"/>
      <c r="K51" s="52" t="str">
        <f>IF(OR(Tabela1[[#This Row],[Replan]]="",Tabela1[[#This Row],[Previsto (LB)]]=""),"",Tabela1[[#This Row],[Previsto (LB)]]-Tabela1[[#This Row],[Replan]])</f>
        <v/>
      </c>
      <c r="L51" s="20" t="s">
        <v>658</v>
      </c>
      <c r="M51" s="25"/>
      <c r="N51" s="21"/>
      <c r="O51" s="19"/>
      <c r="P51" s="19"/>
      <c r="Q51" s="19"/>
      <c r="R51" s="105"/>
      <c r="S51" s="38">
        <f t="shared" si="4"/>
        <v>3</v>
      </c>
      <c r="T51" s="27"/>
    </row>
    <row r="52" spans="1:108" s="11" customFormat="1" ht="12.5" x14ac:dyDescent="0.35">
      <c r="A52" s="18" t="str">
        <f>_xlfn.XLOOKUP("*"&amp;Tabela1[[#This Row],[Processo]]&amp;"*",'Árvore de Localização'!$H:$H,'Árvore de Localização'!$G:$G,"0000",2)</f>
        <v>2127.A</v>
      </c>
      <c r="B52" s="38" t="str">
        <f>_xlfn.XLOOKUP(Tabela1[[#This Row],[Processo]],'Árvore de Localização'!$D:$D,'Árvore de Localização'!$B:$B,"",0,1)</f>
        <v>Etanol</v>
      </c>
      <c r="C52" s="42" t="str">
        <f>_xlfn.XLOOKUP(Tabela1[[#This Row],[Processo]],'Árvore de Localização'!$D:$D,'Árvore de Localização'!$C:$C,"",0,1)</f>
        <v>Armazenamento e Expedição de Etanol</v>
      </c>
      <c r="D52" s="39" t="s">
        <v>169</v>
      </c>
      <c r="E52" s="22" t="s">
        <v>372</v>
      </c>
      <c r="F52" s="22" t="s">
        <v>43</v>
      </c>
      <c r="G52" s="101"/>
      <c r="H52" s="101"/>
      <c r="I52" s="112"/>
      <c r="J52" s="119"/>
      <c r="K52" s="52" t="str">
        <f>IF(OR(Tabela1[[#This Row],[Replan]]="",Tabela1[[#This Row],[Previsto (LB)]]=""),"",Tabela1[[#This Row],[Previsto (LB)]]-Tabela1[[#This Row],[Replan]])</f>
        <v/>
      </c>
      <c r="L52" s="20" t="s">
        <v>651</v>
      </c>
      <c r="M52" s="25"/>
      <c r="N52" s="21"/>
      <c r="O52" s="19"/>
      <c r="P52" s="19"/>
      <c r="Q52" s="19"/>
      <c r="R52" s="105"/>
      <c r="S52" s="38">
        <f>IF(R52="Não iniciado",1,IF(R52="Em andamento",2,3))</f>
        <v>3</v>
      </c>
      <c r="T52" s="27"/>
    </row>
    <row r="53" spans="1:108" s="11" customFormat="1" ht="12.5" x14ac:dyDescent="0.35">
      <c r="A53" s="18" t="str">
        <f>_xlfn.XLOOKUP("*"&amp;Tabela1[[#This Row],[Processo]]&amp;"*",'Árvore de Localização'!$H:$H,'Árvore de Localização'!$G:$G,"0000",2)</f>
        <v>2127.A</v>
      </c>
      <c r="B53" s="38" t="str">
        <f>_xlfn.XLOOKUP(Tabela1[[#This Row],[Processo]],'Árvore de Localização'!$D:$D,'Árvore de Localização'!$B:$B,"",0,1)</f>
        <v>Etanol</v>
      </c>
      <c r="C53" s="42" t="str">
        <f>_xlfn.XLOOKUP(Tabela1[[#This Row],[Processo]],'Árvore de Localização'!$D:$D,'Árvore de Localização'!$C:$C,"",0,1)</f>
        <v>Armazenamento e Expedição de Etanol</v>
      </c>
      <c r="D53" s="39" t="s">
        <v>169</v>
      </c>
      <c r="E53" s="22" t="s">
        <v>372</v>
      </c>
      <c r="F53" s="19" t="s">
        <v>43</v>
      </c>
      <c r="G53" s="101"/>
      <c r="H53" s="101"/>
      <c r="I53" s="112"/>
      <c r="J53" s="119"/>
      <c r="K53" s="52" t="str">
        <f>IF(OR(Tabela1[[#This Row],[Replan]]="",Tabela1[[#This Row],[Previsto (LB)]]=""),"",Tabela1[[#This Row],[Previsto (LB)]]-Tabela1[[#This Row],[Replan]])</f>
        <v/>
      </c>
      <c r="L53" s="20" t="s">
        <v>659</v>
      </c>
      <c r="M53" s="25"/>
      <c r="N53" s="21"/>
      <c r="O53" s="19"/>
      <c r="P53" s="19"/>
      <c r="Q53" s="19"/>
      <c r="R53" s="105"/>
      <c r="S53" s="38">
        <f>IF(R53="Não iniciado",1,IF(R53="Em andamento",2,3))</f>
        <v>3</v>
      </c>
      <c r="T53" s="27"/>
    </row>
    <row r="54" spans="1:108" s="13" customFormat="1" ht="12.5" x14ac:dyDescent="0.35">
      <c r="A54" s="18" t="str">
        <f>_xlfn.XLOOKUP("*"&amp;Tabela1[[#This Row],[Processo]]&amp;"*",'Árvore de Localização'!$H:$H,'Árvore de Localização'!$G:$G,"0000",2)</f>
        <v>2103.C</v>
      </c>
      <c r="B54" s="38" t="str">
        <f>_xlfn.XLOOKUP(Tabela1[[#This Row],[Processo]],'Árvore de Localização'!$D:$D,'Árvore de Localização'!$B:$B,"",0,1)</f>
        <v>Efluentes</v>
      </c>
      <c r="C54" s="42" t="str">
        <f>_xlfn.XLOOKUP(Tabela1[[#This Row],[Processo]],'Árvore de Localização'!$D:$D,'Árvore de Localização'!$C:$C,"",0,1)</f>
        <v>Estação de Tratamento de Efluentes (ETE)</v>
      </c>
      <c r="D54" s="39" t="s">
        <v>292</v>
      </c>
      <c r="E54" s="19" t="s">
        <v>37</v>
      </c>
      <c r="F54" s="19" t="s">
        <v>43</v>
      </c>
      <c r="G54" s="101"/>
      <c r="H54" s="101"/>
      <c r="I54" s="112"/>
      <c r="J54" s="119"/>
      <c r="K54" s="52" t="str">
        <f>IF(OR(Tabela1[[#This Row],[Replan]]="",Tabela1[[#This Row],[Previsto (LB)]]=""),"",Tabela1[[#This Row],[Previsto (LB)]]-Tabela1[[#This Row],[Replan]])</f>
        <v/>
      </c>
      <c r="L54" s="20" t="s">
        <v>1504</v>
      </c>
      <c r="M54" s="21"/>
      <c r="N54" s="21"/>
      <c r="O54" s="19"/>
      <c r="P54" s="19"/>
      <c r="Q54" s="19"/>
      <c r="R54" s="105"/>
      <c r="S54" s="38">
        <f t="shared" si="0"/>
        <v>3</v>
      </c>
      <c r="T54" s="26"/>
    </row>
    <row r="55" spans="1:108" s="13" customFormat="1" ht="12.5" x14ac:dyDescent="0.35">
      <c r="A55" s="18" t="str">
        <f>_xlfn.XLOOKUP("*"&amp;Tabela1[[#This Row],[Processo]]&amp;"*",'Árvore de Localização'!$H:$H,'Árvore de Localização'!$G:$G,"0000",2)</f>
        <v>2103.C</v>
      </c>
      <c r="B55" s="38" t="str">
        <f>_xlfn.XLOOKUP(Tabela1[[#This Row],[Processo]],'Árvore de Localização'!$D:$D,'Árvore de Localização'!$B:$B,"",0,1)</f>
        <v>Efluentes</v>
      </c>
      <c r="C55" s="42" t="str">
        <f>_xlfn.XLOOKUP(Tabela1[[#This Row],[Processo]],'Árvore de Localização'!$D:$D,'Árvore de Localização'!$C:$C,"",0,1)</f>
        <v>Estação de Tratamento de Efluentes (ETE)</v>
      </c>
      <c r="D55" s="39" t="s">
        <v>292</v>
      </c>
      <c r="E55" s="19" t="s">
        <v>37</v>
      </c>
      <c r="F55" s="19" t="s">
        <v>43</v>
      </c>
      <c r="G55" s="101"/>
      <c r="H55" s="101"/>
      <c r="I55" s="112"/>
      <c r="J55" s="119"/>
      <c r="K55" s="52" t="str">
        <f>IF(OR(Tabela1[[#This Row],[Replan]]="",Tabela1[[#This Row],[Previsto (LB)]]=""),"",Tabela1[[#This Row],[Previsto (LB)]]-Tabela1[[#This Row],[Replan]])</f>
        <v/>
      </c>
      <c r="L55" s="20" t="s">
        <v>1513</v>
      </c>
      <c r="M55" s="21"/>
      <c r="N55" s="21"/>
      <c r="O55" s="19"/>
      <c r="P55" s="19"/>
      <c r="Q55" s="19"/>
      <c r="R55" s="105"/>
      <c r="S55" s="38">
        <f t="shared" si="0"/>
        <v>3</v>
      </c>
      <c r="T55" s="26"/>
    </row>
    <row r="56" spans="1:108" s="13" customFormat="1" ht="12.5" x14ac:dyDescent="0.35">
      <c r="A56" s="18" t="str">
        <f>_xlfn.XLOOKUP("*"&amp;Tabela1[[#This Row],[Processo]]&amp;"*",'Árvore de Localização'!$H:$H,'Árvore de Localização'!$G:$G,"0000",2)</f>
        <v>2103.C</v>
      </c>
      <c r="B56" s="38" t="str">
        <f>_xlfn.XLOOKUP(Tabela1[[#This Row],[Processo]],'Árvore de Localização'!$D:$D,'Árvore de Localização'!$B:$B,"",0,1)</f>
        <v>Efluentes</v>
      </c>
      <c r="C56" s="42" t="str">
        <f>_xlfn.XLOOKUP(Tabela1[[#This Row],[Processo]],'Árvore de Localização'!$D:$D,'Árvore de Localização'!$C:$C,"",0,1)</f>
        <v>Estação de Tratamento de Efluentes (ETE)</v>
      </c>
      <c r="D56" s="39" t="s">
        <v>292</v>
      </c>
      <c r="E56" s="19" t="s">
        <v>37</v>
      </c>
      <c r="F56" s="19" t="s">
        <v>43</v>
      </c>
      <c r="G56" s="101"/>
      <c r="H56" s="101"/>
      <c r="I56" s="112"/>
      <c r="J56" s="119"/>
      <c r="K56" s="52" t="str">
        <f>IF(OR(Tabela1[[#This Row],[Replan]]="",Tabela1[[#This Row],[Previsto (LB)]]=""),"",Tabela1[[#This Row],[Previsto (LB)]]-Tabela1[[#This Row],[Replan]])</f>
        <v/>
      </c>
      <c r="L56" s="20" t="s">
        <v>1505</v>
      </c>
      <c r="M56" s="21"/>
      <c r="N56" s="21"/>
      <c r="O56" s="19"/>
      <c r="P56" s="19"/>
      <c r="Q56" s="19"/>
      <c r="R56" s="105"/>
      <c r="S56" s="38">
        <f t="shared" si="0"/>
        <v>3</v>
      </c>
      <c r="T56" s="26"/>
    </row>
    <row r="57" spans="1:108" s="51" customFormat="1" ht="12.5" x14ac:dyDescent="0.35">
      <c r="A57" s="18" t="str">
        <f>_xlfn.XLOOKUP("*"&amp;Tabela1[[#This Row],[Processo]]&amp;"*",'Árvore de Localização'!$H:$H,'Árvore de Localização'!$G:$G,"0000",2)</f>
        <v>2103.C</v>
      </c>
      <c r="B57" s="38" t="str">
        <f>_xlfn.XLOOKUP(Tabela1[[#This Row],[Processo]],'Árvore de Localização'!$D:$D,'Árvore de Localização'!$B:$B,"",0,1)</f>
        <v>Efluentes</v>
      </c>
      <c r="C57" s="42" t="str">
        <f>_xlfn.XLOOKUP(Tabela1[[#This Row],[Processo]],'Árvore de Localização'!$D:$D,'Árvore de Localização'!$C:$C,"",0,1)</f>
        <v>Estação de Tratamento de Efluentes (ETE)</v>
      </c>
      <c r="D57" s="39" t="s">
        <v>292</v>
      </c>
      <c r="E57" s="19" t="s">
        <v>37</v>
      </c>
      <c r="F57" s="19" t="s">
        <v>43</v>
      </c>
      <c r="G57" s="101"/>
      <c r="H57" s="101"/>
      <c r="I57" s="112"/>
      <c r="J57" s="119"/>
      <c r="K57" s="52" t="str">
        <f>IF(OR(Tabela1[[#This Row],[Replan]]="",Tabela1[[#This Row],[Previsto (LB)]]=""),"",Tabela1[[#This Row],[Previsto (LB)]]-Tabela1[[#This Row],[Replan]])</f>
        <v/>
      </c>
      <c r="L57" s="20" t="s">
        <v>1506</v>
      </c>
      <c r="M57" s="21"/>
      <c r="N57" s="21"/>
      <c r="O57" s="19"/>
      <c r="P57" s="19"/>
      <c r="Q57" s="19"/>
      <c r="R57" s="105"/>
      <c r="S57" s="38">
        <f t="shared" ref="S57" si="5">IF(R57="Não iniciado",1,IF(R57="Em andamento",2,3))</f>
        <v>3</v>
      </c>
      <c r="T57" s="26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</row>
    <row r="58" spans="1:108" s="51" customFormat="1" ht="12.5" x14ac:dyDescent="0.35">
      <c r="A58" s="18" t="str">
        <f>_xlfn.XLOOKUP("*"&amp;Tabela1[[#This Row],[Processo]]&amp;"*",'Árvore de Localização'!$H:$H,'Árvore de Localização'!$G:$G,"0000",2)</f>
        <v>2103.C</v>
      </c>
      <c r="B58" s="38" t="str">
        <f>_xlfn.XLOOKUP(Tabela1[[#This Row],[Processo]],'Árvore de Localização'!$D:$D,'Árvore de Localização'!$B:$B,"",0,1)</f>
        <v>Efluentes</v>
      </c>
      <c r="C58" s="42" t="str">
        <f>_xlfn.XLOOKUP(Tabela1[[#This Row],[Processo]],'Árvore de Localização'!$D:$D,'Árvore de Localização'!$C:$C,"",0,1)</f>
        <v>Estação de Tratamento de Efluentes (ETE)</v>
      </c>
      <c r="D58" s="39" t="s">
        <v>292</v>
      </c>
      <c r="E58" s="19" t="s">
        <v>37</v>
      </c>
      <c r="F58" s="19" t="s">
        <v>43</v>
      </c>
      <c r="G58" s="101"/>
      <c r="H58" s="101"/>
      <c r="I58" s="112"/>
      <c r="J58" s="119"/>
      <c r="K58" s="52" t="str">
        <f>IF(OR(Tabela1[[#This Row],[Replan]]="",Tabela1[[#This Row],[Previsto (LB)]]=""),"",Tabela1[[#This Row],[Previsto (LB)]]-Tabela1[[#This Row],[Replan]])</f>
        <v/>
      </c>
      <c r="L58" s="20" t="s">
        <v>1522</v>
      </c>
      <c r="M58" s="21"/>
      <c r="N58" s="21"/>
      <c r="O58" s="19"/>
      <c r="P58" s="19"/>
      <c r="Q58" s="19"/>
      <c r="R58" s="105"/>
      <c r="S58" s="38">
        <f>IF(R58="Não iniciado",1,IF(R58="Em andamento",2,3))</f>
        <v>3</v>
      </c>
      <c r="T58" s="27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</row>
    <row r="59" spans="1:108" s="51" customFormat="1" ht="12.5" x14ac:dyDescent="0.35">
      <c r="A59" s="18" t="str">
        <f>_xlfn.XLOOKUP("*"&amp;Tabela1[[#This Row],[Processo]]&amp;"*",'Árvore de Localização'!$H:$H,'Árvore de Localização'!$G:$G,"0000",2)</f>
        <v>2103.C</v>
      </c>
      <c r="B59" s="38" t="str">
        <f>_xlfn.XLOOKUP(Tabela1[[#This Row],[Processo]],'Árvore de Localização'!$D:$D,'Árvore de Localização'!$B:$B,"",0,1)</f>
        <v>Efluentes</v>
      </c>
      <c r="C59" s="42" t="str">
        <f>_xlfn.XLOOKUP(Tabela1[[#This Row],[Processo]],'Árvore de Localização'!$D:$D,'Árvore de Localização'!$C:$C,"",0,1)</f>
        <v>Estação de Tratamento de Efluentes (ETE)</v>
      </c>
      <c r="D59" s="39" t="s">
        <v>292</v>
      </c>
      <c r="E59" s="19" t="s">
        <v>37</v>
      </c>
      <c r="F59" s="19" t="s">
        <v>43</v>
      </c>
      <c r="G59" s="101"/>
      <c r="H59" s="101"/>
      <c r="I59" s="112"/>
      <c r="J59" s="119"/>
      <c r="K59" s="52" t="str">
        <f>IF(OR(Tabela1[[#This Row],[Replan]]="",Tabela1[[#This Row],[Previsto (LB)]]=""),"",Tabela1[[#This Row],[Previsto (LB)]]-Tabela1[[#This Row],[Replan]])</f>
        <v/>
      </c>
      <c r="L59" s="20" t="s">
        <v>1514</v>
      </c>
      <c r="M59" s="21"/>
      <c r="N59" s="21"/>
      <c r="O59" s="19"/>
      <c r="P59" s="19"/>
      <c r="Q59" s="19"/>
      <c r="R59" s="105"/>
      <c r="S59" s="38">
        <f>IF(R59="Não iniciado",1,IF(R59="Em andamento",2,3))</f>
        <v>3</v>
      </c>
      <c r="T59" s="27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</row>
    <row r="60" spans="1:108" s="11" customFormat="1" ht="12.5" x14ac:dyDescent="0.35">
      <c r="A60" s="18" t="str">
        <f>_xlfn.XLOOKUP("*"&amp;Tabela1[[#This Row],[Processo]]&amp;"*",'Árvore de Localização'!$H:$H,'Árvore de Localização'!$G:$G,"0000",2)</f>
        <v>2102.B</v>
      </c>
      <c r="B60" s="38" t="str">
        <f>_xlfn.XLOOKUP(Tabela1[[#This Row],[Processo]],'Árvore de Localização'!$D:$D,'Árvore de Localização'!$B:$B,"",0,1)</f>
        <v>Etanol</v>
      </c>
      <c r="C60" s="42" t="str">
        <f>_xlfn.XLOOKUP(Tabela1[[#This Row],[Processo]],'Árvore de Localização'!$D:$D,'Árvore de Localização'!$C:$C,"",0,1)</f>
        <v>Cozimento</v>
      </c>
      <c r="D60" s="39" t="s">
        <v>125</v>
      </c>
      <c r="E60" s="19" t="s">
        <v>38</v>
      </c>
      <c r="F60" s="19">
        <v>1</v>
      </c>
      <c r="G60" s="101"/>
      <c r="H60" s="101"/>
      <c r="I60" s="112"/>
      <c r="J60" s="119"/>
      <c r="K60" s="52" t="str">
        <f>IF(OR(Tabela1[[#This Row],[Replan]]="",Tabela1[[#This Row],[Previsto (LB)]]=""),"",Tabela1[[#This Row],[Previsto (LB)]]-Tabela1[[#This Row],[Replan]])</f>
        <v/>
      </c>
      <c r="L60" s="20" t="s">
        <v>504</v>
      </c>
      <c r="M60" s="21"/>
      <c r="N60" s="25"/>
      <c r="O60" s="19"/>
      <c r="P60" s="19"/>
      <c r="Q60" s="19"/>
      <c r="R60" s="105"/>
      <c r="S60" s="38">
        <f t="shared" si="0"/>
        <v>3</v>
      </c>
      <c r="T60" s="24"/>
    </row>
    <row r="61" spans="1:108" s="11" customFormat="1" ht="12.5" x14ac:dyDescent="0.35">
      <c r="A61" s="18" t="str">
        <f>_xlfn.XLOOKUP("*"&amp;Tabela1[[#This Row],[Processo]]&amp;"*",'Árvore de Localização'!$H:$H,'Árvore de Localização'!$G:$G,"0000",2)</f>
        <v>2102.B</v>
      </c>
      <c r="B61" s="38" t="str">
        <f>_xlfn.XLOOKUP(Tabela1[[#This Row],[Processo]],'Árvore de Localização'!$D:$D,'Árvore de Localização'!$B:$B,"",0,1)</f>
        <v>Etanol</v>
      </c>
      <c r="C61" s="42" t="str">
        <f>_xlfn.XLOOKUP(Tabela1[[#This Row],[Processo]],'Árvore de Localização'!$D:$D,'Árvore de Localização'!$C:$C,"",0,1)</f>
        <v>Cozimento</v>
      </c>
      <c r="D61" s="39" t="s">
        <v>125</v>
      </c>
      <c r="E61" s="19" t="s">
        <v>38</v>
      </c>
      <c r="F61" s="19">
        <v>1</v>
      </c>
      <c r="G61" s="101"/>
      <c r="H61" s="101"/>
      <c r="I61" s="112"/>
      <c r="J61" s="119"/>
      <c r="K61" s="52" t="str">
        <f>IF(OR(Tabela1[[#This Row],[Replan]]="",Tabela1[[#This Row],[Previsto (LB)]]=""),"",Tabela1[[#This Row],[Previsto (LB)]]-Tabela1[[#This Row],[Replan]])</f>
        <v/>
      </c>
      <c r="L61" s="20" t="s">
        <v>540</v>
      </c>
      <c r="M61" s="21"/>
      <c r="N61" s="25"/>
      <c r="O61" s="19"/>
      <c r="P61" s="19"/>
      <c r="Q61" s="19"/>
      <c r="R61" s="105"/>
      <c r="S61" s="38">
        <f t="shared" si="0"/>
        <v>3</v>
      </c>
      <c r="T61" s="24"/>
    </row>
    <row r="62" spans="1:108" s="11" customFormat="1" ht="12.5" x14ac:dyDescent="0.35">
      <c r="A62" s="18" t="str">
        <f>_xlfn.XLOOKUP("*"&amp;Tabela1[[#This Row],[Processo]]&amp;"*",'Árvore de Localização'!$H:$H,'Árvore de Localização'!$G:$G,"0000",2)</f>
        <v>2102.B</v>
      </c>
      <c r="B62" s="38" t="str">
        <f>_xlfn.XLOOKUP(Tabela1[[#This Row],[Processo]],'Árvore de Localização'!$D:$D,'Árvore de Localização'!$B:$B,"",0,1)</f>
        <v>Etanol</v>
      </c>
      <c r="C62" s="42" t="str">
        <f>_xlfn.XLOOKUP(Tabela1[[#This Row],[Processo]],'Árvore de Localização'!$D:$D,'Árvore de Localização'!$C:$C,"",0,1)</f>
        <v>Cozimento</v>
      </c>
      <c r="D62" s="39" t="s">
        <v>125</v>
      </c>
      <c r="E62" s="19" t="s">
        <v>38</v>
      </c>
      <c r="F62" s="19">
        <v>1</v>
      </c>
      <c r="G62" s="101"/>
      <c r="H62" s="101"/>
      <c r="I62" s="112"/>
      <c r="J62" s="119"/>
      <c r="K62" s="52" t="str">
        <f>IF(OR(Tabela1[[#This Row],[Replan]]="",Tabela1[[#This Row],[Previsto (LB)]]=""),"",Tabela1[[#This Row],[Previsto (LB)]]-Tabela1[[#This Row],[Replan]])</f>
        <v/>
      </c>
      <c r="L62" s="20" t="s">
        <v>513</v>
      </c>
      <c r="M62" s="21"/>
      <c r="N62" s="21"/>
      <c r="O62" s="19"/>
      <c r="P62" s="19"/>
      <c r="Q62" s="19"/>
      <c r="R62" s="105"/>
      <c r="S62" s="38">
        <f t="shared" si="0"/>
        <v>3</v>
      </c>
      <c r="T62" s="24"/>
    </row>
    <row r="63" spans="1:108" s="11" customFormat="1" ht="12.5" x14ac:dyDescent="0.35">
      <c r="A63" s="18" t="str">
        <f>_xlfn.XLOOKUP("*"&amp;Tabela1[[#This Row],[Processo]]&amp;"*",'Árvore de Localização'!$H:$H,'Árvore de Localização'!$G:$G,"0000",2)</f>
        <v>2102.B</v>
      </c>
      <c r="B63" s="38" t="str">
        <f>_xlfn.XLOOKUP(Tabela1[[#This Row],[Processo]],'Árvore de Localização'!$D:$D,'Árvore de Localização'!$B:$B,"",0,1)</f>
        <v>Etanol</v>
      </c>
      <c r="C63" s="42" t="str">
        <f>_xlfn.XLOOKUP(Tabela1[[#This Row],[Processo]],'Árvore de Localização'!$D:$D,'Árvore de Localização'!$C:$C,"",0,1)</f>
        <v>Cozimento</v>
      </c>
      <c r="D63" s="39" t="s">
        <v>125</v>
      </c>
      <c r="E63" s="19" t="s">
        <v>38</v>
      </c>
      <c r="F63" s="19">
        <v>1</v>
      </c>
      <c r="G63" s="101"/>
      <c r="H63" s="101"/>
      <c r="I63" s="112"/>
      <c r="J63" s="119"/>
      <c r="K63" s="52" t="str">
        <f>IF(OR(Tabela1[[#This Row],[Replan]]="",Tabela1[[#This Row],[Previsto (LB)]]=""),"",Tabela1[[#This Row],[Previsto (LB)]]-Tabela1[[#This Row],[Replan]])</f>
        <v/>
      </c>
      <c r="L63" s="20" t="s">
        <v>541</v>
      </c>
      <c r="M63" s="21"/>
      <c r="N63" s="25"/>
      <c r="O63" s="19"/>
      <c r="P63" s="19"/>
      <c r="Q63" s="19"/>
      <c r="R63" s="105"/>
      <c r="S63" s="38">
        <f t="shared" si="0"/>
        <v>3</v>
      </c>
      <c r="T63" s="24"/>
    </row>
    <row r="64" spans="1:108" s="11" customFormat="1" ht="12.5" x14ac:dyDescent="0.35">
      <c r="A64" s="18" t="str">
        <f>_xlfn.XLOOKUP("*"&amp;Tabela1[[#This Row],[Processo]]&amp;"*",'Árvore de Localização'!$H:$H,'Árvore de Localização'!$G:$G,"0000",2)</f>
        <v>2102.B</v>
      </c>
      <c r="B64" s="38" t="str">
        <f>_xlfn.XLOOKUP(Tabela1[[#This Row],[Processo]],'Árvore de Localização'!$D:$D,'Árvore de Localização'!$B:$B,"",0,1)</f>
        <v>Etanol</v>
      </c>
      <c r="C64" s="42" t="str">
        <f>_xlfn.XLOOKUP(Tabela1[[#This Row],[Processo]],'Árvore de Localização'!$D:$D,'Árvore de Localização'!$C:$C,"",0,1)</f>
        <v>Cozimento</v>
      </c>
      <c r="D64" s="39" t="s">
        <v>125</v>
      </c>
      <c r="E64" s="19" t="s">
        <v>38</v>
      </c>
      <c r="F64" s="19">
        <v>1</v>
      </c>
      <c r="G64" s="101"/>
      <c r="H64" s="101"/>
      <c r="I64" s="112"/>
      <c r="J64" s="119"/>
      <c r="K64" s="52" t="str">
        <f>IF(OR(Tabela1[[#This Row],[Replan]]="",Tabela1[[#This Row],[Previsto (LB)]]=""),"",Tabela1[[#This Row],[Previsto (LB)]]-Tabela1[[#This Row],[Replan]])</f>
        <v/>
      </c>
      <c r="L64" s="20" t="s">
        <v>505</v>
      </c>
      <c r="M64" s="21"/>
      <c r="N64" s="21"/>
      <c r="O64" s="19"/>
      <c r="P64" s="19"/>
      <c r="Q64" s="19"/>
      <c r="R64" s="105"/>
      <c r="S64" s="38">
        <f t="shared" si="0"/>
        <v>3</v>
      </c>
      <c r="T64" s="24"/>
    </row>
    <row r="65" spans="1:20" s="11" customFormat="1" ht="12.5" x14ac:dyDescent="0.35">
      <c r="A65" s="18" t="str">
        <f>_xlfn.XLOOKUP("*"&amp;Tabela1[[#This Row],[Processo]]&amp;"*",'Árvore de Localização'!$H:$H,'Árvore de Localização'!$G:$G,"0000",2)</f>
        <v>2102.B</v>
      </c>
      <c r="B65" s="38" t="str">
        <f>_xlfn.XLOOKUP(Tabela1[[#This Row],[Processo]],'Árvore de Localização'!$D:$D,'Árvore de Localização'!$B:$B,"",0,1)</f>
        <v>Etanol</v>
      </c>
      <c r="C65" s="42" t="str">
        <f>_xlfn.XLOOKUP(Tabela1[[#This Row],[Processo]],'Árvore de Localização'!$D:$D,'Árvore de Localização'!$C:$C,"",0,1)</f>
        <v>Cozimento</v>
      </c>
      <c r="D65" s="39" t="s">
        <v>125</v>
      </c>
      <c r="E65" s="19" t="s">
        <v>38</v>
      </c>
      <c r="F65" s="19">
        <v>1</v>
      </c>
      <c r="G65" s="101"/>
      <c r="H65" s="101"/>
      <c r="I65" s="112"/>
      <c r="J65" s="119"/>
      <c r="K65" s="52" t="str">
        <f>IF(OR(Tabela1[[#This Row],[Replan]]="",Tabela1[[#This Row],[Previsto (LB)]]=""),"",Tabela1[[#This Row],[Previsto (LB)]]-Tabela1[[#This Row],[Replan]])</f>
        <v/>
      </c>
      <c r="L65" s="20" t="s">
        <v>514</v>
      </c>
      <c r="M65" s="21"/>
      <c r="N65" s="21"/>
      <c r="O65" s="19"/>
      <c r="P65" s="19"/>
      <c r="Q65" s="19"/>
      <c r="R65" s="105"/>
      <c r="S65" s="38">
        <f t="shared" ref="S65:S66" si="6">IF(R65="Não iniciado",1,IF(R65="Em andamento",2,3))</f>
        <v>3</v>
      </c>
      <c r="T65" s="27"/>
    </row>
    <row r="66" spans="1:20" s="11" customFormat="1" ht="12.5" x14ac:dyDescent="0.35">
      <c r="A66" s="18" t="str">
        <f>_xlfn.XLOOKUP("*"&amp;Tabela1[[#This Row],[Processo]]&amp;"*",'Árvore de Localização'!$H:$H,'Árvore de Localização'!$G:$G,"0000",2)</f>
        <v>2102.B</v>
      </c>
      <c r="B66" s="38" t="str">
        <f>_xlfn.XLOOKUP(Tabela1[[#This Row],[Processo]],'Árvore de Localização'!$D:$D,'Árvore de Localização'!$B:$B,"",0,1)</f>
        <v>Etanol</v>
      </c>
      <c r="C66" s="42" t="str">
        <f>_xlfn.XLOOKUP(Tabela1[[#This Row],[Processo]],'Árvore de Localização'!$D:$D,'Árvore de Localização'!$C:$C,"",0,1)</f>
        <v>Cozimento</v>
      </c>
      <c r="D66" s="39" t="s">
        <v>125</v>
      </c>
      <c r="E66" s="19" t="s">
        <v>38</v>
      </c>
      <c r="F66" s="19">
        <v>1</v>
      </c>
      <c r="G66" s="101"/>
      <c r="H66" s="101"/>
      <c r="I66" s="112"/>
      <c r="J66" s="119"/>
      <c r="K66" s="52" t="str">
        <f>IF(OR(Tabela1[[#This Row],[Replan]]="",Tabela1[[#This Row],[Previsto (LB)]]=""),"",Tabela1[[#This Row],[Previsto (LB)]]-Tabela1[[#This Row],[Replan]])</f>
        <v/>
      </c>
      <c r="L66" s="20" t="s">
        <v>506</v>
      </c>
      <c r="M66" s="21"/>
      <c r="N66" s="21"/>
      <c r="O66" s="19"/>
      <c r="P66" s="19"/>
      <c r="Q66" s="19"/>
      <c r="R66" s="105"/>
      <c r="S66" s="38">
        <f t="shared" si="6"/>
        <v>3</v>
      </c>
      <c r="T66" s="27"/>
    </row>
    <row r="67" spans="1:20" s="11" customFormat="1" ht="12.5" x14ac:dyDescent="0.35">
      <c r="A67" s="18" t="str">
        <f>_xlfn.XLOOKUP("*"&amp;Tabela1[[#This Row],[Processo]]&amp;"*",'Árvore de Localização'!$H:$H,'Árvore de Localização'!$G:$G,"0000",2)</f>
        <v>2102.B</v>
      </c>
      <c r="B67" s="38" t="str">
        <f>_xlfn.XLOOKUP(Tabela1[[#This Row],[Processo]],'Árvore de Localização'!$D:$D,'Árvore de Localização'!$B:$B,"",0,1)</f>
        <v>Etanol</v>
      </c>
      <c r="C67" s="42" t="str">
        <f>_xlfn.XLOOKUP(Tabela1[[#This Row],[Processo]],'Árvore de Localização'!$D:$D,'Árvore de Localização'!$C:$C,"",0,1)</f>
        <v>Cozimento</v>
      </c>
      <c r="D67" s="39" t="s">
        <v>125</v>
      </c>
      <c r="E67" s="19" t="s">
        <v>38</v>
      </c>
      <c r="F67" s="19">
        <v>1</v>
      </c>
      <c r="G67" s="101"/>
      <c r="H67" s="101"/>
      <c r="I67" s="112"/>
      <c r="J67" s="119"/>
      <c r="K67" s="52" t="str">
        <f>IF(OR(Tabela1[[#This Row],[Replan]]="",Tabela1[[#This Row],[Previsto (LB)]]=""),"",Tabela1[[#This Row],[Previsto (LB)]]-Tabela1[[#This Row],[Replan]])</f>
        <v/>
      </c>
      <c r="L67" s="20" t="s">
        <v>522</v>
      </c>
      <c r="M67" s="21"/>
      <c r="N67" s="21"/>
      <c r="O67" s="19"/>
      <c r="P67" s="19"/>
      <c r="Q67" s="19"/>
      <c r="R67" s="105"/>
      <c r="S67" s="38">
        <f>IF(R67="Não iniciado",1,IF(R67="Em andamento",2,3))</f>
        <v>3</v>
      </c>
      <c r="T67" s="27"/>
    </row>
    <row r="68" spans="1:20" s="11" customFormat="1" ht="12.5" x14ac:dyDescent="0.35">
      <c r="A68" s="18" t="str">
        <f>_xlfn.XLOOKUP("*"&amp;Tabela1[[#This Row],[Processo]]&amp;"*",'Árvore de Localização'!$H:$H,'Árvore de Localização'!$G:$G,"0000",2)</f>
        <v>2102.B</v>
      </c>
      <c r="B68" s="38" t="str">
        <f>_xlfn.XLOOKUP(Tabela1[[#This Row],[Processo]],'Árvore de Localização'!$D:$D,'Árvore de Localização'!$B:$B,"",0,1)</f>
        <v>Etanol</v>
      </c>
      <c r="C68" s="42" t="str">
        <f>_xlfn.XLOOKUP(Tabela1[[#This Row],[Processo]],'Árvore de Localização'!$D:$D,'Árvore de Localização'!$C:$C,"",0,1)</f>
        <v>Cozimento</v>
      </c>
      <c r="D68" s="39" t="s">
        <v>125</v>
      </c>
      <c r="E68" s="19" t="s">
        <v>38</v>
      </c>
      <c r="F68" s="19">
        <v>1</v>
      </c>
      <c r="G68" s="101"/>
      <c r="H68" s="101"/>
      <c r="I68" s="112"/>
      <c r="J68" s="119"/>
      <c r="K68" s="52" t="str">
        <f>IF(OR(Tabela1[[#This Row],[Replan]]="",Tabela1[[#This Row],[Previsto (LB)]]=""),"",Tabela1[[#This Row],[Previsto (LB)]]-Tabela1[[#This Row],[Replan]])</f>
        <v/>
      </c>
      <c r="L68" s="20" t="s">
        <v>515</v>
      </c>
      <c r="M68" s="21"/>
      <c r="N68" s="21"/>
      <c r="O68" s="19"/>
      <c r="P68" s="19"/>
      <c r="Q68" s="19"/>
      <c r="R68" s="105"/>
      <c r="S68" s="38">
        <f>IF(R68="Não iniciado",1,IF(R68="Em andamento",2,3))</f>
        <v>3</v>
      </c>
      <c r="T68" s="27"/>
    </row>
    <row r="69" spans="1:20" s="11" customFormat="1" ht="12.5" x14ac:dyDescent="0.35">
      <c r="A69" s="18" t="str">
        <f>_xlfn.XLOOKUP("*"&amp;Tabela1[[#This Row],[Processo]]&amp;"*",'Árvore de Localização'!$H:$H,'Árvore de Localização'!$G:$G,"0000",2)</f>
        <v>2102.B</v>
      </c>
      <c r="B69" s="38" t="str">
        <f>_xlfn.XLOOKUP(Tabela1[[#This Row],[Processo]],'Árvore de Localização'!$D:$D,'Árvore de Localização'!$B:$B,"",0,1)</f>
        <v>Etanol</v>
      </c>
      <c r="C69" s="42" t="str">
        <f>_xlfn.XLOOKUP(Tabela1[[#This Row],[Processo]],'Árvore de Localização'!$D:$D,'Árvore de Localização'!$C:$C,"",0,1)</f>
        <v>Cozimento</v>
      </c>
      <c r="D69" s="39" t="s">
        <v>125</v>
      </c>
      <c r="E69" s="19" t="s">
        <v>38</v>
      </c>
      <c r="F69" s="19">
        <v>1</v>
      </c>
      <c r="G69" s="101"/>
      <c r="H69" s="101"/>
      <c r="I69" s="112"/>
      <c r="J69" s="119"/>
      <c r="K69" s="52" t="str">
        <f>IF(OR(Tabela1[[#This Row],[Replan]]="",Tabela1[[#This Row],[Previsto (LB)]]=""),"",Tabela1[[#This Row],[Previsto (LB)]]-Tabela1[[#This Row],[Replan]])</f>
        <v/>
      </c>
      <c r="L69" s="20" t="s">
        <v>523</v>
      </c>
      <c r="M69" s="21"/>
      <c r="N69" s="21"/>
      <c r="O69" s="19"/>
      <c r="P69" s="19"/>
      <c r="Q69" s="19"/>
      <c r="R69" s="105"/>
      <c r="S69" s="38">
        <f t="shared" si="0"/>
        <v>3</v>
      </c>
      <c r="T69" s="24"/>
    </row>
    <row r="70" spans="1:20" s="11" customFormat="1" ht="12.5" x14ac:dyDescent="0.35">
      <c r="A70" s="18" t="str">
        <f>_xlfn.XLOOKUP("*"&amp;Tabela1[[#This Row],[Processo]]&amp;"*",'Árvore de Localização'!$H:$H,'Árvore de Localização'!$G:$G,"0000",2)</f>
        <v>2108.B</v>
      </c>
      <c r="B70" s="38" t="str">
        <f>_xlfn.XLOOKUP(Tabela1[[#This Row],[Processo]],'Árvore de Localização'!$D:$D,'Árvore de Localização'!$B:$B,"",0,1)</f>
        <v>Etanol</v>
      </c>
      <c r="C70" s="42" t="str">
        <f>_xlfn.XLOOKUP(Tabela1[[#This Row],[Processo]],'Árvore de Localização'!$D:$D,'Árvore de Localização'!$C:$C,"",0,1)</f>
        <v>Destilaria</v>
      </c>
      <c r="D70" s="39" t="s">
        <v>161</v>
      </c>
      <c r="E70" s="19" t="s">
        <v>39</v>
      </c>
      <c r="F70" s="19">
        <v>1</v>
      </c>
      <c r="G70" s="101"/>
      <c r="H70" s="101"/>
      <c r="I70" s="112"/>
      <c r="J70" s="119"/>
      <c r="K70" s="52" t="str">
        <f>IF(OR(Tabela1[[#This Row],[Replan]]="",Tabela1[[#This Row],[Previsto (LB)]]=""),"",Tabela1[[#This Row],[Previsto (LB)]]-Tabela1[[#This Row],[Replan]])</f>
        <v/>
      </c>
      <c r="L70" s="20" t="s">
        <v>600</v>
      </c>
      <c r="M70" s="21"/>
      <c r="N70" s="25"/>
      <c r="O70" s="19"/>
      <c r="P70" s="19"/>
      <c r="Q70" s="19"/>
      <c r="R70" s="105"/>
      <c r="S70" s="38">
        <f t="shared" si="0"/>
        <v>3</v>
      </c>
      <c r="T70" s="24"/>
    </row>
    <row r="71" spans="1:20" s="11" customFormat="1" ht="12.5" x14ac:dyDescent="0.35">
      <c r="A71" s="18" t="str">
        <f>_xlfn.XLOOKUP("*"&amp;Tabela1[[#This Row],[Processo]]&amp;"*",'Árvore de Localização'!$H:$H,'Árvore de Localização'!$G:$G,"0000",2)</f>
        <v>2108.B</v>
      </c>
      <c r="B71" s="38" t="str">
        <f>_xlfn.XLOOKUP(Tabela1[[#This Row],[Processo]],'Árvore de Localização'!$D:$D,'Árvore de Localização'!$B:$B,"",0,1)</f>
        <v>Etanol</v>
      </c>
      <c r="C71" s="42" t="str">
        <f>_xlfn.XLOOKUP(Tabela1[[#This Row],[Processo]],'Árvore de Localização'!$D:$D,'Árvore de Localização'!$C:$C,"",0,1)</f>
        <v>Destilaria</v>
      </c>
      <c r="D71" s="39" t="s">
        <v>161</v>
      </c>
      <c r="E71" s="19" t="s">
        <v>39</v>
      </c>
      <c r="F71" s="19">
        <v>1</v>
      </c>
      <c r="G71" s="101"/>
      <c r="H71" s="101"/>
      <c r="I71" s="112"/>
      <c r="J71" s="119"/>
      <c r="K71" s="52" t="str">
        <f>IF(OR(Tabela1[[#This Row],[Replan]]="",Tabela1[[#This Row],[Previsto (LB)]]=""),"",Tabela1[[#This Row],[Previsto (LB)]]-Tabela1[[#This Row],[Replan]])</f>
        <v/>
      </c>
      <c r="L71" s="20" t="s">
        <v>636</v>
      </c>
      <c r="M71" s="21"/>
      <c r="N71" s="25"/>
      <c r="O71" s="19"/>
      <c r="P71" s="19"/>
      <c r="Q71" s="19"/>
      <c r="R71" s="105"/>
      <c r="S71" s="38">
        <f t="shared" si="0"/>
        <v>3</v>
      </c>
      <c r="T71" s="24"/>
    </row>
    <row r="72" spans="1:20" s="11" customFormat="1" ht="12.5" x14ac:dyDescent="0.35">
      <c r="A72" s="18" t="str">
        <f>_xlfn.XLOOKUP("*"&amp;Tabela1[[#This Row],[Processo]]&amp;"*",'Árvore de Localização'!$H:$H,'Árvore de Localização'!$G:$G,"0000",2)</f>
        <v>2108.B</v>
      </c>
      <c r="B72" s="38" t="str">
        <f>_xlfn.XLOOKUP(Tabela1[[#This Row],[Processo]],'Árvore de Localização'!$D:$D,'Árvore de Localização'!$B:$B,"",0,1)</f>
        <v>Etanol</v>
      </c>
      <c r="C72" s="42" t="str">
        <f>_xlfn.XLOOKUP(Tabela1[[#This Row],[Processo]],'Árvore de Localização'!$D:$D,'Árvore de Localização'!$C:$C,"",0,1)</f>
        <v>Destilaria</v>
      </c>
      <c r="D72" s="39" t="s">
        <v>161</v>
      </c>
      <c r="E72" s="19" t="s">
        <v>39</v>
      </c>
      <c r="F72" s="19">
        <v>1</v>
      </c>
      <c r="G72" s="101"/>
      <c r="H72" s="101"/>
      <c r="I72" s="112"/>
      <c r="J72" s="119"/>
      <c r="K72" s="52" t="str">
        <f>IF(OR(Tabela1[[#This Row],[Replan]]="",Tabela1[[#This Row],[Previsto (LB)]]=""),"",Tabela1[[#This Row],[Previsto (LB)]]-Tabela1[[#This Row],[Replan]])</f>
        <v/>
      </c>
      <c r="L72" s="20" t="s">
        <v>609</v>
      </c>
      <c r="M72" s="21"/>
      <c r="N72" s="21"/>
      <c r="O72" s="19"/>
      <c r="P72" s="19"/>
      <c r="Q72" s="19"/>
      <c r="R72" s="105"/>
      <c r="S72" s="38">
        <f t="shared" si="0"/>
        <v>3</v>
      </c>
      <c r="T72" s="24"/>
    </row>
    <row r="73" spans="1:20" s="11" customFormat="1" ht="12.5" x14ac:dyDescent="0.35">
      <c r="A73" s="18" t="str">
        <f>_xlfn.XLOOKUP("*"&amp;Tabela1[[#This Row],[Processo]]&amp;"*",'Árvore de Localização'!$H:$H,'Árvore de Localização'!$G:$G,"0000",2)</f>
        <v>2108.B</v>
      </c>
      <c r="B73" s="38" t="str">
        <f>_xlfn.XLOOKUP(Tabela1[[#This Row],[Processo]],'Árvore de Localização'!$D:$D,'Árvore de Localização'!$B:$B,"",0,1)</f>
        <v>Etanol</v>
      </c>
      <c r="C73" s="42" t="str">
        <f>_xlfn.XLOOKUP(Tabela1[[#This Row],[Processo]],'Árvore de Localização'!$D:$D,'Árvore de Localização'!$C:$C,"",0,1)</f>
        <v>Destilaria</v>
      </c>
      <c r="D73" s="39" t="s">
        <v>161</v>
      </c>
      <c r="E73" s="19" t="s">
        <v>39</v>
      </c>
      <c r="F73" s="19">
        <v>1</v>
      </c>
      <c r="G73" s="101"/>
      <c r="H73" s="101"/>
      <c r="I73" s="112"/>
      <c r="J73" s="119"/>
      <c r="K73" s="52" t="str">
        <f>IF(OR(Tabela1[[#This Row],[Replan]]="",Tabela1[[#This Row],[Previsto (LB)]]=""),"",Tabela1[[#This Row],[Previsto (LB)]]-Tabela1[[#This Row],[Replan]])</f>
        <v/>
      </c>
      <c r="L73" s="20" t="s">
        <v>637</v>
      </c>
      <c r="M73" s="21"/>
      <c r="N73" s="25"/>
      <c r="O73" s="19"/>
      <c r="P73" s="19"/>
      <c r="Q73" s="19"/>
      <c r="R73" s="105"/>
      <c r="S73" s="38">
        <f t="shared" si="0"/>
        <v>3</v>
      </c>
      <c r="T73" s="24"/>
    </row>
    <row r="74" spans="1:20" s="11" customFormat="1" ht="12.5" x14ac:dyDescent="0.35">
      <c r="A74" s="18" t="str">
        <f>_xlfn.XLOOKUP("*"&amp;Tabela1[[#This Row],[Processo]]&amp;"*",'Árvore de Localização'!$H:$H,'Árvore de Localização'!$G:$G,"0000",2)</f>
        <v>2108.B</v>
      </c>
      <c r="B74" s="38" t="str">
        <f>_xlfn.XLOOKUP(Tabela1[[#This Row],[Processo]],'Árvore de Localização'!$D:$D,'Árvore de Localização'!$B:$B,"",0,1)</f>
        <v>Etanol</v>
      </c>
      <c r="C74" s="42" t="str">
        <f>_xlfn.XLOOKUP(Tabela1[[#This Row],[Processo]],'Árvore de Localização'!$D:$D,'Árvore de Localização'!$C:$C,"",0,1)</f>
        <v>Destilaria</v>
      </c>
      <c r="D74" s="39" t="s">
        <v>161</v>
      </c>
      <c r="E74" s="19" t="s">
        <v>39</v>
      </c>
      <c r="F74" s="19">
        <v>1</v>
      </c>
      <c r="G74" s="101"/>
      <c r="H74" s="101"/>
      <c r="I74" s="112"/>
      <c r="J74" s="119"/>
      <c r="K74" s="52" t="str">
        <f>IF(OR(Tabela1[[#This Row],[Replan]]="",Tabela1[[#This Row],[Previsto (LB)]]=""),"",Tabela1[[#This Row],[Previsto (LB)]]-Tabela1[[#This Row],[Replan]])</f>
        <v/>
      </c>
      <c r="L74" s="20" t="s">
        <v>601</v>
      </c>
      <c r="M74" s="21"/>
      <c r="N74" s="21"/>
      <c r="O74" s="19"/>
      <c r="P74" s="19"/>
      <c r="Q74" s="19"/>
      <c r="R74" s="105"/>
      <c r="S74" s="38">
        <f t="shared" ref="S74:S75" si="7">IF(R74="Não iniciado",1,IF(R74="Em andamento",2,3))</f>
        <v>3</v>
      </c>
      <c r="T74" s="27"/>
    </row>
    <row r="75" spans="1:20" s="11" customFormat="1" ht="12.5" x14ac:dyDescent="0.35">
      <c r="A75" s="18" t="str">
        <f>_xlfn.XLOOKUP("*"&amp;Tabela1[[#This Row],[Processo]]&amp;"*",'Árvore de Localização'!$H:$H,'Árvore de Localização'!$G:$G,"0000",2)</f>
        <v>2108.B</v>
      </c>
      <c r="B75" s="38" t="str">
        <f>_xlfn.XLOOKUP(Tabela1[[#This Row],[Processo]],'Árvore de Localização'!$D:$D,'Árvore de Localização'!$B:$B,"",0,1)</f>
        <v>Etanol</v>
      </c>
      <c r="C75" s="42" t="str">
        <f>_xlfn.XLOOKUP(Tabela1[[#This Row],[Processo]],'Árvore de Localização'!$D:$D,'Árvore de Localização'!$C:$C,"",0,1)</f>
        <v>Destilaria</v>
      </c>
      <c r="D75" s="39" t="s">
        <v>161</v>
      </c>
      <c r="E75" s="19" t="s">
        <v>39</v>
      </c>
      <c r="F75" s="19">
        <v>1</v>
      </c>
      <c r="G75" s="101"/>
      <c r="H75" s="101"/>
      <c r="I75" s="112"/>
      <c r="J75" s="119"/>
      <c r="K75" s="52" t="str">
        <f>IF(OR(Tabela1[[#This Row],[Replan]]="",Tabela1[[#This Row],[Previsto (LB)]]=""),"",Tabela1[[#This Row],[Previsto (LB)]]-Tabela1[[#This Row],[Replan]])</f>
        <v/>
      </c>
      <c r="L75" s="20" t="s">
        <v>610</v>
      </c>
      <c r="M75" s="21"/>
      <c r="N75" s="21"/>
      <c r="O75" s="19"/>
      <c r="P75" s="19"/>
      <c r="Q75" s="19"/>
      <c r="R75" s="105"/>
      <c r="S75" s="38">
        <f t="shared" si="7"/>
        <v>3</v>
      </c>
      <c r="T75" s="27"/>
    </row>
    <row r="76" spans="1:20" s="11" customFormat="1" ht="12.5" x14ac:dyDescent="0.35">
      <c r="A76" s="18" t="str">
        <f>_xlfn.XLOOKUP("*"&amp;Tabela1[[#This Row],[Processo]]&amp;"*",'Árvore de Localização'!$H:$H,'Árvore de Localização'!$G:$G,"0000",2)</f>
        <v>2108.B</v>
      </c>
      <c r="B76" s="38" t="str">
        <f>_xlfn.XLOOKUP(Tabela1[[#This Row],[Processo]],'Árvore de Localização'!$D:$D,'Árvore de Localização'!$B:$B,"",0,1)</f>
        <v>Etanol</v>
      </c>
      <c r="C76" s="42" t="str">
        <f>_xlfn.XLOOKUP(Tabela1[[#This Row],[Processo]],'Árvore de Localização'!$D:$D,'Árvore de Localização'!$C:$C,"",0,1)</f>
        <v>Destilaria</v>
      </c>
      <c r="D76" s="39" t="s">
        <v>161</v>
      </c>
      <c r="E76" s="19" t="s">
        <v>39</v>
      </c>
      <c r="F76" s="19">
        <v>1</v>
      </c>
      <c r="G76" s="101"/>
      <c r="H76" s="101"/>
      <c r="I76" s="112"/>
      <c r="J76" s="119"/>
      <c r="K76" s="52" t="str">
        <f>IF(OR(Tabela1[[#This Row],[Replan]]="",Tabela1[[#This Row],[Previsto (LB)]]=""),"",Tabela1[[#This Row],[Previsto (LB)]]-Tabela1[[#This Row],[Replan]])</f>
        <v/>
      </c>
      <c r="L76" s="20" t="s">
        <v>602</v>
      </c>
      <c r="M76" s="21"/>
      <c r="N76" s="21"/>
      <c r="O76" s="19"/>
      <c r="P76" s="19"/>
      <c r="Q76" s="19"/>
      <c r="R76" s="105"/>
      <c r="S76" s="38">
        <f>IF(R76="Não iniciado",1,IF(R76="Em andamento",2,3))</f>
        <v>3</v>
      </c>
      <c r="T76" s="27"/>
    </row>
    <row r="77" spans="1:20" s="11" customFormat="1" ht="12.5" x14ac:dyDescent="0.35">
      <c r="A77" s="18" t="str">
        <f>_xlfn.XLOOKUP("*"&amp;Tabela1[[#This Row],[Processo]]&amp;"*",'Árvore de Localização'!$H:$H,'Árvore de Localização'!$G:$G,"0000",2)</f>
        <v>2108.B</v>
      </c>
      <c r="B77" s="38" t="str">
        <f>_xlfn.XLOOKUP(Tabela1[[#This Row],[Processo]],'Árvore de Localização'!$D:$D,'Árvore de Localização'!$B:$B,"",0,1)</f>
        <v>Etanol</v>
      </c>
      <c r="C77" s="42" t="str">
        <f>_xlfn.XLOOKUP(Tabela1[[#This Row],[Processo]],'Árvore de Localização'!$D:$D,'Árvore de Localização'!$C:$C,"",0,1)</f>
        <v>Destilaria</v>
      </c>
      <c r="D77" s="39" t="s">
        <v>161</v>
      </c>
      <c r="E77" s="19" t="s">
        <v>39</v>
      </c>
      <c r="F77" s="19">
        <v>1</v>
      </c>
      <c r="G77" s="101"/>
      <c r="H77" s="101"/>
      <c r="I77" s="112"/>
      <c r="J77" s="119"/>
      <c r="K77" s="52" t="str">
        <f>IF(OR(Tabela1[[#This Row],[Replan]]="",Tabela1[[#This Row],[Previsto (LB)]]=""),"",Tabela1[[#This Row],[Previsto (LB)]]-Tabela1[[#This Row],[Replan]])</f>
        <v/>
      </c>
      <c r="L77" s="20" t="s">
        <v>618</v>
      </c>
      <c r="M77" s="21"/>
      <c r="N77" s="21"/>
      <c r="O77" s="19"/>
      <c r="P77" s="19"/>
      <c r="Q77" s="19"/>
      <c r="R77" s="105"/>
      <c r="S77" s="38">
        <f>IF(R77="Não iniciado",1,IF(R77="Em andamento",2,3))</f>
        <v>3</v>
      </c>
      <c r="T77" s="27"/>
    </row>
    <row r="78" spans="1:20" s="11" customFormat="1" ht="12.5" x14ac:dyDescent="0.35">
      <c r="A78" s="18" t="str">
        <f>_xlfn.XLOOKUP("*"&amp;Tabela1[[#This Row],[Processo]]&amp;"*",'Árvore de Localização'!$H:$H,'Árvore de Localização'!$G:$G,"0000",2)</f>
        <v>2108.B</v>
      </c>
      <c r="B78" s="38" t="str">
        <f>_xlfn.XLOOKUP(Tabela1[[#This Row],[Processo]],'Árvore de Localização'!$D:$D,'Árvore de Localização'!$B:$B,"",0,1)</f>
        <v>Etanol</v>
      </c>
      <c r="C78" s="42" t="str">
        <f>_xlfn.XLOOKUP(Tabela1[[#This Row],[Processo]],'Árvore de Localização'!$D:$D,'Árvore de Localização'!$C:$C,"",0,1)</f>
        <v>Destilaria</v>
      </c>
      <c r="D78" s="39" t="s">
        <v>161</v>
      </c>
      <c r="E78" s="19" t="s">
        <v>39</v>
      </c>
      <c r="F78" s="19">
        <v>1</v>
      </c>
      <c r="G78" s="101"/>
      <c r="H78" s="101"/>
      <c r="I78" s="112"/>
      <c r="J78" s="119"/>
      <c r="K78" s="52" t="str">
        <f>IF(OR(Tabela1[[#This Row],[Replan]]="",Tabela1[[#This Row],[Previsto (LB)]]=""),"",Tabela1[[#This Row],[Previsto (LB)]]-Tabela1[[#This Row],[Replan]])</f>
        <v/>
      </c>
      <c r="L78" s="20" t="s">
        <v>611</v>
      </c>
      <c r="M78" s="21"/>
      <c r="N78" s="21"/>
      <c r="O78" s="19"/>
      <c r="P78" s="19"/>
      <c r="Q78" s="19"/>
      <c r="R78" s="105"/>
      <c r="S78" s="38">
        <f>IF(R78="Não iniciado",1,IF(R78="Em andamento",2,3))</f>
        <v>3</v>
      </c>
      <c r="T78" s="27"/>
    </row>
    <row r="79" spans="1:20" s="11" customFormat="1" ht="12.5" x14ac:dyDescent="0.35">
      <c r="A79" s="18" t="str">
        <f>_xlfn.XLOOKUP("*"&amp;Tabela1[[#This Row],[Processo]]&amp;"*",'Árvore de Localização'!$H:$H,'Árvore de Localização'!$G:$G,"0000",2)</f>
        <v>2108.A</v>
      </c>
      <c r="B79" s="38" t="str">
        <f>_xlfn.XLOOKUP(Tabela1[[#This Row],[Processo]],'Árvore de Localização'!$D:$D,'Árvore de Localização'!$B:$B,"",0,1)</f>
        <v>Etanol</v>
      </c>
      <c r="C79" s="42" t="str">
        <f>_xlfn.XLOOKUP(Tabela1[[#This Row],[Processo]],'Árvore de Localização'!$D:$D,'Árvore de Localização'!$C:$C,"",0,1)</f>
        <v>Destilaria</v>
      </c>
      <c r="D79" s="39" t="s">
        <v>40</v>
      </c>
      <c r="E79" s="19" t="s">
        <v>40</v>
      </c>
      <c r="F79" s="19">
        <v>1</v>
      </c>
      <c r="G79" s="101"/>
      <c r="H79" s="101"/>
      <c r="I79" s="112"/>
      <c r="J79" s="119"/>
      <c r="K79" s="52" t="str">
        <f>IF(OR(Tabela1[[#This Row],[Replan]]="",Tabela1[[#This Row],[Previsto (LB)]]=""),"",Tabela1[[#This Row],[Previsto (LB)]]-Tabela1[[#This Row],[Replan]])</f>
        <v/>
      </c>
      <c r="L79" s="20" t="s">
        <v>603</v>
      </c>
      <c r="M79" s="21"/>
      <c r="N79" s="25"/>
      <c r="O79" s="19"/>
      <c r="P79" s="19"/>
      <c r="Q79" s="19"/>
      <c r="R79" s="105"/>
      <c r="S79" s="38">
        <f t="shared" si="0"/>
        <v>3</v>
      </c>
      <c r="T79" s="24"/>
    </row>
    <row r="80" spans="1:20" s="11" customFormat="1" ht="12.5" x14ac:dyDescent="0.35">
      <c r="A80" s="18" t="str">
        <f>_xlfn.XLOOKUP("*"&amp;Tabela1[[#This Row],[Processo]]&amp;"*",'Árvore de Localização'!$H:$H,'Árvore de Localização'!$G:$G,"0000",2)</f>
        <v>2108.A</v>
      </c>
      <c r="B80" s="38" t="str">
        <f>_xlfn.XLOOKUP(Tabela1[[#This Row],[Processo]],'Árvore de Localização'!$D:$D,'Árvore de Localização'!$B:$B,"",0,1)</f>
        <v>Etanol</v>
      </c>
      <c r="C80" s="42" t="str">
        <f>_xlfn.XLOOKUP(Tabela1[[#This Row],[Processo]],'Árvore de Localização'!$D:$D,'Árvore de Localização'!$C:$C,"",0,1)</f>
        <v>Destilaria</v>
      </c>
      <c r="D80" s="39" t="s">
        <v>40</v>
      </c>
      <c r="E80" s="19" t="s">
        <v>40</v>
      </c>
      <c r="F80" s="19">
        <v>1</v>
      </c>
      <c r="G80" s="101"/>
      <c r="H80" s="101"/>
      <c r="I80" s="112"/>
      <c r="J80" s="119"/>
      <c r="K80" s="52" t="str">
        <f>IF(OR(Tabela1[[#This Row],[Replan]]="",Tabela1[[#This Row],[Previsto (LB)]]=""),"",Tabela1[[#This Row],[Previsto (LB)]]-Tabela1[[#This Row],[Replan]])</f>
        <v/>
      </c>
      <c r="L80" s="20" t="s">
        <v>638</v>
      </c>
      <c r="M80" s="21"/>
      <c r="N80" s="25"/>
      <c r="O80" s="19"/>
      <c r="P80" s="19"/>
      <c r="Q80" s="19"/>
      <c r="R80" s="105"/>
      <c r="S80" s="38">
        <f t="shared" si="0"/>
        <v>3</v>
      </c>
      <c r="T80" s="24"/>
    </row>
    <row r="81" spans="1:20" s="11" customFormat="1" ht="12.5" x14ac:dyDescent="0.35">
      <c r="A81" s="18" t="str">
        <f>_xlfn.XLOOKUP("*"&amp;Tabela1[[#This Row],[Processo]]&amp;"*",'Árvore de Localização'!$H:$H,'Árvore de Localização'!$G:$G,"0000",2)</f>
        <v>2108.A</v>
      </c>
      <c r="B81" s="38" t="str">
        <f>_xlfn.XLOOKUP(Tabela1[[#This Row],[Processo]],'Árvore de Localização'!$D:$D,'Árvore de Localização'!$B:$B,"",0,1)</f>
        <v>Etanol</v>
      </c>
      <c r="C81" s="42" t="str">
        <f>_xlfn.XLOOKUP(Tabela1[[#This Row],[Processo]],'Árvore de Localização'!$D:$D,'Árvore de Localização'!$C:$C,"",0,1)</f>
        <v>Destilaria</v>
      </c>
      <c r="D81" s="39" t="s">
        <v>40</v>
      </c>
      <c r="E81" s="19" t="s">
        <v>40</v>
      </c>
      <c r="F81" s="19">
        <v>1</v>
      </c>
      <c r="G81" s="101"/>
      <c r="H81" s="101"/>
      <c r="I81" s="112"/>
      <c r="J81" s="119"/>
      <c r="K81" s="52" t="str">
        <f>IF(OR(Tabela1[[#This Row],[Replan]]="",Tabela1[[#This Row],[Previsto (LB)]]=""),"",Tabela1[[#This Row],[Previsto (LB)]]-Tabela1[[#This Row],[Replan]])</f>
        <v/>
      </c>
      <c r="L81" s="20" t="s">
        <v>612</v>
      </c>
      <c r="M81" s="21"/>
      <c r="N81" s="21"/>
      <c r="O81" s="19"/>
      <c r="P81" s="19"/>
      <c r="Q81" s="19"/>
      <c r="R81" s="105"/>
      <c r="S81" s="38">
        <f t="shared" si="0"/>
        <v>3</v>
      </c>
      <c r="T81" s="24"/>
    </row>
    <row r="82" spans="1:20" s="11" customFormat="1" ht="12.5" x14ac:dyDescent="0.35">
      <c r="A82" s="18" t="str">
        <f>_xlfn.XLOOKUP("*"&amp;Tabela1[[#This Row],[Processo]]&amp;"*",'Árvore de Localização'!$H:$H,'Árvore de Localização'!$G:$G,"0000",2)</f>
        <v>2108.A</v>
      </c>
      <c r="B82" s="38" t="str">
        <f>_xlfn.XLOOKUP(Tabela1[[#This Row],[Processo]],'Árvore de Localização'!$D:$D,'Árvore de Localização'!$B:$B,"",0,1)</f>
        <v>Etanol</v>
      </c>
      <c r="C82" s="42" t="str">
        <f>_xlfn.XLOOKUP(Tabela1[[#This Row],[Processo]],'Árvore de Localização'!$D:$D,'Árvore de Localização'!$C:$C,"",0,1)</f>
        <v>Destilaria</v>
      </c>
      <c r="D82" s="39" t="s">
        <v>40</v>
      </c>
      <c r="E82" s="19" t="s">
        <v>40</v>
      </c>
      <c r="F82" s="19">
        <v>1</v>
      </c>
      <c r="G82" s="101"/>
      <c r="H82" s="101"/>
      <c r="I82" s="112"/>
      <c r="J82" s="119"/>
      <c r="K82" s="52" t="str">
        <f>IF(OR(Tabela1[[#This Row],[Replan]]="",Tabela1[[#This Row],[Previsto (LB)]]=""),"",Tabela1[[#This Row],[Previsto (LB)]]-Tabela1[[#This Row],[Replan]])</f>
        <v/>
      </c>
      <c r="L82" s="20" t="s">
        <v>639</v>
      </c>
      <c r="M82" s="21"/>
      <c r="N82" s="25"/>
      <c r="O82" s="19"/>
      <c r="P82" s="19"/>
      <c r="Q82" s="19"/>
      <c r="R82" s="105"/>
      <c r="S82" s="38">
        <f t="shared" si="0"/>
        <v>3</v>
      </c>
      <c r="T82" s="24"/>
    </row>
    <row r="83" spans="1:20" s="11" customFormat="1" ht="12.5" x14ac:dyDescent="0.35">
      <c r="A83" s="18" t="str">
        <f>_xlfn.XLOOKUP("*"&amp;Tabela1[[#This Row],[Processo]]&amp;"*",'Árvore de Localização'!$H:$H,'Árvore de Localização'!$G:$G,"0000",2)</f>
        <v>2108.A</v>
      </c>
      <c r="B83" s="38" t="str">
        <f>_xlfn.XLOOKUP(Tabela1[[#This Row],[Processo]],'Árvore de Localização'!$D:$D,'Árvore de Localização'!$B:$B,"",0,1)</f>
        <v>Etanol</v>
      </c>
      <c r="C83" s="42" t="str">
        <f>_xlfn.XLOOKUP(Tabela1[[#This Row],[Processo]],'Árvore de Localização'!$D:$D,'Árvore de Localização'!$C:$C,"",0,1)</f>
        <v>Destilaria</v>
      </c>
      <c r="D83" s="39" t="s">
        <v>40</v>
      </c>
      <c r="E83" s="19" t="s">
        <v>40</v>
      </c>
      <c r="F83" s="19">
        <v>1</v>
      </c>
      <c r="G83" s="101"/>
      <c r="H83" s="101"/>
      <c r="I83" s="112"/>
      <c r="J83" s="119"/>
      <c r="K83" s="52" t="str">
        <f>IF(OR(Tabela1[[#This Row],[Replan]]="",Tabela1[[#This Row],[Previsto (LB)]]=""),"",Tabela1[[#This Row],[Previsto (LB)]]-Tabela1[[#This Row],[Replan]])</f>
        <v/>
      </c>
      <c r="L83" s="20" t="s">
        <v>604</v>
      </c>
      <c r="M83" s="21"/>
      <c r="N83" s="21"/>
      <c r="O83" s="19"/>
      <c r="P83" s="19"/>
      <c r="Q83" s="19"/>
      <c r="R83" s="105"/>
      <c r="S83" s="38">
        <f t="shared" ref="S83:S84" si="8">IF(R83="Não iniciado",1,IF(R83="Em andamento",2,3))</f>
        <v>3</v>
      </c>
      <c r="T83" s="27"/>
    </row>
    <row r="84" spans="1:20" s="11" customFormat="1" ht="12.5" x14ac:dyDescent="0.35">
      <c r="A84" s="18" t="str">
        <f>_xlfn.XLOOKUP("*"&amp;Tabela1[[#This Row],[Processo]]&amp;"*",'Árvore de Localização'!$H:$H,'Árvore de Localização'!$G:$G,"0000",2)</f>
        <v>2108.A</v>
      </c>
      <c r="B84" s="38" t="str">
        <f>_xlfn.XLOOKUP(Tabela1[[#This Row],[Processo]],'Árvore de Localização'!$D:$D,'Árvore de Localização'!$B:$B,"",0,1)</f>
        <v>Etanol</v>
      </c>
      <c r="C84" s="42" t="str">
        <f>_xlfn.XLOOKUP(Tabela1[[#This Row],[Processo]],'Árvore de Localização'!$D:$D,'Árvore de Localização'!$C:$C,"",0,1)</f>
        <v>Destilaria</v>
      </c>
      <c r="D84" s="39" t="s">
        <v>40</v>
      </c>
      <c r="E84" s="19" t="s">
        <v>40</v>
      </c>
      <c r="F84" s="19">
        <v>1</v>
      </c>
      <c r="G84" s="101"/>
      <c r="H84" s="101"/>
      <c r="I84" s="112"/>
      <c r="J84" s="119"/>
      <c r="K84" s="52" t="str">
        <f>IF(OR(Tabela1[[#This Row],[Replan]]="",Tabela1[[#This Row],[Previsto (LB)]]=""),"",Tabela1[[#This Row],[Previsto (LB)]]-Tabela1[[#This Row],[Replan]])</f>
        <v/>
      </c>
      <c r="L84" s="20" t="s">
        <v>619</v>
      </c>
      <c r="M84" s="21"/>
      <c r="N84" s="21"/>
      <c r="O84" s="19"/>
      <c r="P84" s="19"/>
      <c r="Q84" s="19"/>
      <c r="R84" s="105"/>
      <c r="S84" s="38">
        <f t="shared" si="8"/>
        <v>3</v>
      </c>
      <c r="T84" s="27"/>
    </row>
    <row r="85" spans="1:20" s="11" customFormat="1" ht="12.5" x14ac:dyDescent="0.35">
      <c r="A85" s="18" t="str">
        <f>_xlfn.XLOOKUP("*"&amp;Tabela1[[#This Row],[Processo]]&amp;"*",'Árvore de Localização'!$H:$H,'Árvore de Localização'!$G:$G,"0000",2)</f>
        <v>2108.A</v>
      </c>
      <c r="B85" s="38" t="str">
        <f>_xlfn.XLOOKUP(Tabela1[[#This Row],[Processo]],'Árvore de Localização'!$D:$D,'Árvore de Localização'!$B:$B,"",0,1)</f>
        <v>Etanol</v>
      </c>
      <c r="C85" s="42" t="str">
        <f>_xlfn.XLOOKUP(Tabela1[[#This Row],[Processo]],'Árvore de Localização'!$D:$D,'Árvore de Localização'!$C:$C,"",0,1)</f>
        <v>Destilaria</v>
      </c>
      <c r="D85" s="39" t="s">
        <v>40</v>
      </c>
      <c r="E85" s="19" t="s">
        <v>40</v>
      </c>
      <c r="F85" s="19">
        <v>1</v>
      </c>
      <c r="G85" s="101"/>
      <c r="H85" s="101"/>
      <c r="I85" s="112"/>
      <c r="J85" s="119"/>
      <c r="K85" s="52" t="str">
        <f>IF(OR(Tabela1[[#This Row],[Replan]]="",Tabela1[[#This Row],[Previsto (LB)]]=""),"",Tabela1[[#This Row],[Previsto (LB)]]-Tabela1[[#This Row],[Replan]])</f>
        <v/>
      </c>
      <c r="L85" s="20" t="s">
        <v>613</v>
      </c>
      <c r="M85" s="21"/>
      <c r="N85" s="21"/>
      <c r="O85" s="19"/>
      <c r="P85" s="19"/>
      <c r="Q85" s="19"/>
      <c r="R85" s="105"/>
      <c r="S85" s="38">
        <f>IF(R85="Não iniciado",1,IF(R85="Em andamento",2,3))</f>
        <v>3</v>
      </c>
      <c r="T85" s="27"/>
    </row>
    <row r="86" spans="1:20" s="11" customFormat="1" ht="12.5" x14ac:dyDescent="0.35">
      <c r="A86" s="18" t="str">
        <f>_xlfn.XLOOKUP("*"&amp;Tabela1[[#This Row],[Processo]]&amp;"*",'Árvore de Localização'!$H:$H,'Árvore de Localização'!$G:$G,"0000",2)</f>
        <v>2108.A</v>
      </c>
      <c r="B86" s="38" t="str">
        <f>_xlfn.XLOOKUP(Tabela1[[#This Row],[Processo]],'Árvore de Localização'!$D:$D,'Árvore de Localização'!$B:$B,"",0,1)</f>
        <v>Etanol</v>
      </c>
      <c r="C86" s="42" t="str">
        <f>_xlfn.XLOOKUP(Tabela1[[#This Row],[Processo]],'Árvore de Localização'!$D:$D,'Árvore de Localização'!$C:$C,"",0,1)</f>
        <v>Destilaria</v>
      </c>
      <c r="D86" s="39" t="s">
        <v>40</v>
      </c>
      <c r="E86" s="19" t="s">
        <v>40</v>
      </c>
      <c r="F86" s="19">
        <v>1</v>
      </c>
      <c r="G86" s="101"/>
      <c r="H86" s="101"/>
      <c r="I86" s="112"/>
      <c r="J86" s="119"/>
      <c r="K86" s="52" t="str">
        <f>IF(OR(Tabela1[[#This Row],[Replan]]="",Tabela1[[#This Row],[Previsto (LB)]]=""),"",Tabela1[[#This Row],[Previsto (LB)]]-Tabela1[[#This Row],[Replan]])</f>
        <v/>
      </c>
      <c r="L86" s="20" t="s">
        <v>620</v>
      </c>
      <c r="M86" s="21"/>
      <c r="N86" s="21"/>
      <c r="O86" s="19"/>
      <c r="P86" s="19"/>
      <c r="Q86" s="19"/>
      <c r="R86" s="105"/>
      <c r="S86" s="38">
        <f>IF(R86="Não iniciado",1,IF(R86="Em andamento",2,3))</f>
        <v>3</v>
      </c>
      <c r="T86" s="27"/>
    </row>
    <row r="87" spans="1:20" s="11" customFormat="1" ht="12.5" x14ac:dyDescent="0.35">
      <c r="A87" s="18" t="str">
        <f>_xlfn.XLOOKUP("*"&amp;Tabela1[[#This Row],[Processo]]&amp;"*",'Árvore de Localização'!$H:$H,'Árvore de Localização'!$G:$G,"0000",2)</f>
        <v>2103.A</v>
      </c>
      <c r="B87" s="38" t="str">
        <f>_xlfn.XLOOKUP(Tabela1[[#This Row],[Processo]],'Árvore de Localização'!$D:$D,'Árvore de Localização'!$B:$B,"",0,1)</f>
        <v>Efluentes</v>
      </c>
      <c r="C87" s="42" t="str">
        <f>_xlfn.XLOOKUP(Tabela1[[#This Row],[Processo]],'Árvore de Localização'!$D:$D,'Árvore de Localização'!$C:$C,"",0,1)</f>
        <v>Estação de Tratamento de Efluentes (ETE)</v>
      </c>
      <c r="D87" s="39" t="s">
        <v>288</v>
      </c>
      <c r="E87" s="22" t="s">
        <v>2</v>
      </c>
      <c r="F87" s="19" t="s">
        <v>43</v>
      </c>
      <c r="G87" s="101"/>
      <c r="H87" s="101"/>
      <c r="I87" s="112"/>
      <c r="J87" s="119"/>
      <c r="K87" s="52" t="str">
        <f>IF(OR(Tabela1[[#This Row],[Replan]]="",Tabela1[[#This Row],[Previsto (LB)]]=""),"",Tabela1[[#This Row],[Previsto (LB)]]-Tabela1[[#This Row],[Replan]])</f>
        <v/>
      </c>
      <c r="L87" s="20" t="s">
        <v>1507</v>
      </c>
      <c r="M87" s="25"/>
      <c r="N87" s="25"/>
      <c r="O87" s="19"/>
      <c r="P87" s="19"/>
      <c r="Q87" s="19"/>
      <c r="R87" s="105"/>
      <c r="S87" s="38">
        <f t="shared" si="0"/>
        <v>3</v>
      </c>
      <c r="T87" s="23"/>
    </row>
    <row r="88" spans="1:20" s="11" customFormat="1" ht="12.5" x14ac:dyDescent="0.35">
      <c r="A88" s="18" t="str">
        <f>_xlfn.XLOOKUP("*"&amp;Tabela1[[#This Row],[Processo]]&amp;"*",'Árvore de Localização'!$H:$H,'Árvore de Localização'!$G:$G,"0000",2)</f>
        <v>2103.A</v>
      </c>
      <c r="B88" s="38" t="str">
        <f>_xlfn.XLOOKUP(Tabela1[[#This Row],[Processo]],'Árvore de Localização'!$D:$D,'Árvore de Localização'!$B:$B,"",0,1)</f>
        <v>Efluentes</v>
      </c>
      <c r="C88" s="42" t="str">
        <f>_xlfn.XLOOKUP(Tabela1[[#This Row],[Processo]],'Árvore de Localização'!$D:$D,'Árvore de Localização'!$C:$C,"",0,1)</f>
        <v>Estação de Tratamento de Efluentes (ETE)</v>
      </c>
      <c r="D88" s="39" t="s">
        <v>288</v>
      </c>
      <c r="E88" s="22" t="s">
        <v>2</v>
      </c>
      <c r="F88" s="19" t="s">
        <v>43</v>
      </c>
      <c r="G88" s="101"/>
      <c r="H88" s="101"/>
      <c r="I88" s="112"/>
      <c r="J88" s="119"/>
      <c r="K88" s="52" t="str">
        <f>IF(OR(Tabela1[[#This Row],[Replan]]="",Tabela1[[#This Row],[Previsto (LB)]]=""),"",Tabela1[[#This Row],[Previsto (LB)]]-Tabela1[[#This Row],[Replan]])</f>
        <v/>
      </c>
      <c r="L88" s="20" t="s">
        <v>1508</v>
      </c>
      <c r="M88" s="25"/>
      <c r="N88" s="25"/>
      <c r="O88" s="19"/>
      <c r="P88" s="19"/>
      <c r="Q88" s="19"/>
      <c r="R88" s="105"/>
      <c r="S88" s="38">
        <f t="shared" si="0"/>
        <v>3</v>
      </c>
      <c r="T88" s="23"/>
    </row>
    <row r="89" spans="1:20" s="11" customFormat="1" ht="12.5" x14ac:dyDescent="0.35">
      <c r="A89" s="18" t="str">
        <f>_xlfn.XLOOKUP("*"&amp;Tabela1[[#This Row],[Processo]]&amp;"*",'Árvore de Localização'!$H:$H,'Árvore de Localização'!$G:$G,"0000",2)</f>
        <v>2103.A</v>
      </c>
      <c r="B89" s="38" t="str">
        <f>_xlfn.XLOOKUP(Tabela1[[#This Row],[Processo]],'Árvore de Localização'!$D:$D,'Árvore de Localização'!$B:$B,"",0,1)</f>
        <v>Efluentes</v>
      </c>
      <c r="C89" s="42" t="str">
        <f>_xlfn.XLOOKUP(Tabela1[[#This Row],[Processo]],'Árvore de Localização'!$D:$D,'Árvore de Localização'!$C:$C,"",0,1)</f>
        <v>Estação de Tratamento de Efluentes (ETE)</v>
      </c>
      <c r="D89" s="39" t="s">
        <v>288</v>
      </c>
      <c r="E89" s="22" t="s">
        <v>2</v>
      </c>
      <c r="F89" s="19" t="s">
        <v>43</v>
      </c>
      <c r="G89" s="101"/>
      <c r="H89" s="101"/>
      <c r="I89" s="112"/>
      <c r="J89" s="119"/>
      <c r="K89" s="52" t="str">
        <f>IF(OR(Tabela1[[#This Row],[Replan]]="",Tabela1[[#This Row],[Previsto (LB)]]=""),"",Tabela1[[#This Row],[Previsto (LB)]]-Tabela1[[#This Row],[Replan]])</f>
        <v/>
      </c>
      <c r="L89" s="20" t="s">
        <v>1523</v>
      </c>
      <c r="M89" s="25"/>
      <c r="N89" s="25"/>
      <c r="O89" s="19"/>
      <c r="P89" s="19"/>
      <c r="Q89" s="19"/>
      <c r="R89" s="105"/>
      <c r="S89" s="38">
        <f t="shared" si="0"/>
        <v>3</v>
      </c>
      <c r="T89" s="23"/>
    </row>
    <row r="90" spans="1:20" s="13" customFormat="1" ht="12.5" x14ac:dyDescent="0.35">
      <c r="A90" s="18" t="str">
        <f>_xlfn.XLOOKUP("*"&amp;Tabela1[[#This Row],[Processo]]&amp;"*",'Árvore de Localização'!$H:$H,'Árvore de Localização'!$G:$G,"0000",2)</f>
        <v>2103.A</v>
      </c>
      <c r="B90" s="38" t="str">
        <f>_xlfn.XLOOKUP(Tabela1[[#This Row],[Processo]],'Árvore de Localização'!$D:$D,'Árvore de Localização'!$B:$B,"",0,1)</f>
        <v>Efluentes</v>
      </c>
      <c r="C90" s="42" t="str">
        <f>_xlfn.XLOOKUP(Tabela1[[#This Row],[Processo]],'Árvore de Localização'!$D:$D,'Árvore de Localização'!$C:$C,"",0,1)</f>
        <v>Estação de Tratamento de Efluentes (ETE)</v>
      </c>
      <c r="D90" s="39" t="s">
        <v>288</v>
      </c>
      <c r="E90" s="19" t="s">
        <v>2</v>
      </c>
      <c r="F90" s="19" t="s">
        <v>43</v>
      </c>
      <c r="G90" s="101"/>
      <c r="H90" s="101"/>
      <c r="I90" s="112"/>
      <c r="J90" s="119"/>
      <c r="K90" s="52" t="str">
        <f>IF(OR(Tabela1[[#This Row],[Replan]]="",Tabela1[[#This Row],[Previsto (LB)]]=""),"",Tabela1[[#This Row],[Previsto (LB)]]-Tabela1[[#This Row],[Replan]])</f>
        <v/>
      </c>
      <c r="L90" s="20" t="s">
        <v>1509</v>
      </c>
      <c r="M90" s="21"/>
      <c r="N90" s="21"/>
      <c r="O90" s="19"/>
      <c r="P90" s="19"/>
      <c r="Q90" s="19"/>
      <c r="R90" s="105"/>
      <c r="S90" s="38">
        <f t="shared" si="0"/>
        <v>3</v>
      </c>
      <c r="T90" s="26"/>
    </row>
    <row r="91" spans="1:20" s="11" customFormat="1" ht="12.5" x14ac:dyDescent="0.35">
      <c r="A91" s="18" t="str">
        <f>_xlfn.XLOOKUP("*"&amp;Tabela1[[#This Row],[Processo]]&amp;"*",'Árvore de Localização'!$H:$H,'Árvore de Localização'!$G:$G,"0000",2)</f>
        <v>2103.A</v>
      </c>
      <c r="B91" s="38" t="str">
        <f>_xlfn.XLOOKUP(Tabela1[[#This Row],[Processo]],'Árvore de Localização'!$D:$D,'Árvore de Localização'!$B:$B,"",0,1)</f>
        <v>Efluentes</v>
      </c>
      <c r="C91" s="42" t="str">
        <f>_xlfn.XLOOKUP(Tabela1[[#This Row],[Processo]],'Árvore de Localização'!$D:$D,'Árvore de Localização'!$C:$C,"",0,1)</f>
        <v>Estação de Tratamento de Efluentes (ETE)</v>
      </c>
      <c r="D91" s="39" t="s">
        <v>288</v>
      </c>
      <c r="E91" s="22" t="s">
        <v>2</v>
      </c>
      <c r="F91" s="19" t="s">
        <v>43</v>
      </c>
      <c r="G91" s="101"/>
      <c r="H91" s="101"/>
      <c r="I91" s="112"/>
      <c r="J91" s="119"/>
      <c r="K91" s="52" t="str">
        <f>IF(OR(Tabela1[[#This Row],[Replan]]="",Tabela1[[#This Row],[Previsto (LB)]]=""),"",Tabela1[[#This Row],[Previsto (LB)]]-Tabela1[[#This Row],[Replan]])</f>
        <v/>
      </c>
      <c r="L91" s="20" t="s">
        <v>1524</v>
      </c>
      <c r="M91" s="25"/>
      <c r="N91" s="25"/>
      <c r="O91" s="19"/>
      <c r="P91" s="19"/>
      <c r="Q91" s="19"/>
      <c r="R91" s="105"/>
      <c r="S91" s="38">
        <f t="shared" si="0"/>
        <v>3</v>
      </c>
      <c r="T91" s="23"/>
    </row>
    <row r="92" spans="1:20" s="11" customFormat="1" ht="12.5" x14ac:dyDescent="0.35">
      <c r="A92" s="18" t="str">
        <f>_xlfn.XLOOKUP("*"&amp;Tabela1[[#This Row],[Processo]]&amp;"*",'Árvore de Localização'!$H:$H,'Árvore de Localização'!$G:$G,"0000",2)</f>
        <v>2103.A</v>
      </c>
      <c r="B92" s="38" t="str">
        <f>_xlfn.XLOOKUP(Tabela1[[#This Row],[Processo]],'Árvore de Localização'!$D:$D,'Árvore de Localização'!$B:$B,"",0,1)</f>
        <v>Efluentes</v>
      </c>
      <c r="C92" s="42" t="str">
        <f>_xlfn.XLOOKUP(Tabela1[[#This Row],[Processo]],'Árvore de Localização'!$D:$D,'Árvore de Localização'!$C:$C,"",0,1)</f>
        <v>Estação de Tratamento de Efluentes (ETE)</v>
      </c>
      <c r="D92" s="39" t="s">
        <v>288</v>
      </c>
      <c r="E92" s="22" t="s">
        <v>2</v>
      </c>
      <c r="F92" s="19" t="s">
        <v>43</v>
      </c>
      <c r="G92" s="101"/>
      <c r="H92" s="101"/>
      <c r="I92" s="112"/>
      <c r="J92" s="119"/>
      <c r="K92" s="52" t="str">
        <f>IF(OR(Tabela1[[#This Row],[Replan]]="",Tabela1[[#This Row],[Previsto (LB)]]=""),"",Tabela1[[#This Row],[Previsto (LB)]]-Tabela1[[#This Row],[Replan]])</f>
        <v/>
      </c>
      <c r="L92" s="20" t="s">
        <v>1540</v>
      </c>
      <c r="M92" s="25"/>
      <c r="N92" s="25"/>
      <c r="O92" s="19"/>
      <c r="P92" s="19"/>
      <c r="Q92" s="19"/>
      <c r="R92" s="105"/>
      <c r="S92" s="38">
        <f t="shared" si="0"/>
        <v>3</v>
      </c>
      <c r="T92" s="23"/>
    </row>
    <row r="93" spans="1:20" s="11" customFormat="1" ht="12.5" x14ac:dyDescent="0.35">
      <c r="A93" s="18" t="str">
        <f>_xlfn.XLOOKUP("*"&amp;Tabela1[[#This Row],[Processo]]&amp;"*",'Árvore de Localização'!$H:$H,'Árvore de Localização'!$G:$G,"0000",2)</f>
        <v>2103.A</v>
      </c>
      <c r="B93" s="38" t="str">
        <f>_xlfn.XLOOKUP(Tabela1[[#This Row],[Processo]],'Árvore de Localização'!$D:$D,'Árvore de Localização'!$B:$B,"",0,1)</f>
        <v>Efluentes</v>
      </c>
      <c r="C93" s="42" t="str">
        <f>_xlfn.XLOOKUP(Tabela1[[#This Row],[Processo]],'Árvore de Localização'!$D:$D,'Árvore de Localização'!$C:$C,"",0,1)</f>
        <v>Estação de Tratamento de Efluentes (ETE)</v>
      </c>
      <c r="D93" s="39" t="s">
        <v>288</v>
      </c>
      <c r="E93" s="22" t="s">
        <v>2</v>
      </c>
      <c r="F93" s="19" t="s">
        <v>43</v>
      </c>
      <c r="G93" s="101"/>
      <c r="H93" s="101"/>
      <c r="I93" s="112"/>
      <c r="J93" s="119"/>
      <c r="K93" s="52" t="str">
        <f>IF(OR(Tabela1[[#This Row],[Replan]]="",Tabela1[[#This Row],[Previsto (LB)]]=""),"",Tabela1[[#This Row],[Previsto (LB)]]-Tabela1[[#This Row],[Replan]])</f>
        <v/>
      </c>
      <c r="L93" s="20" t="s">
        <v>1541</v>
      </c>
      <c r="M93" s="25"/>
      <c r="N93" s="21"/>
      <c r="O93" s="19"/>
      <c r="P93" s="19"/>
      <c r="Q93" s="19"/>
      <c r="R93" s="105"/>
      <c r="S93" s="38">
        <f t="shared" si="0"/>
        <v>3</v>
      </c>
      <c r="T93" s="23"/>
    </row>
    <row r="94" spans="1:20" s="11" customFormat="1" ht="12.5" x14ac:dyDescent="0.35">
      <c r="A94" s="18" t="str">
        <f>_xlfn.XLOOKUP("*"&amp;Tabela1[[#This Row],[Processo]]&amp;"*",'Árvore de Localização'!$H:$H,'Árvore de Localização'!$G:$G,"0000",2)</f>
        <v>2110.B</v>
      </c>
      <c r="B94" s="38" t="str">
        <f>_xlfn.XLOOKUP(Tabela1[[#This Row],[Processo]],'Árvore de Localização'!$D:$D,'Árvore de Localização'!$B:$B,"",0,1)</f>
        <v>Utilidades</v>
      </c>
      <c r="C94" s="42" t="str">
        <f>_xlfn.XLOOKUP(Tabela1[[#This Row],[Processo]],'Árvore de Localização'!$D:$D,'Árvore de Localização'!$C:$C,"",0,1)</f>
        <v>Estação de Tratamento de Água (ETA)</v>
      </c>
      <c r="D94" s="39" t="s">
        <v>237</v>
      </c>
      <c r="E94" s="22" t="s">
        <v>41</v>
      </c>
      <c r="F94" s="19" t="s">
        <v>43</v>
      </c>
      <c r="G94" s="101"/>
      <c r="H94" s="101"/>
      <c r="I94" s="112"/>
      <c r="J94" s="119"/>
      <c r="K94" s="52" t="str">
        <f>IF(OR(Tabela1[[#This Row],[Replan]]="",Tabela1[[#This Row],[Previsto (LB)]]=""),"",Tabela1[[#This Row],[Previsto (LB)]]-Tabela1[[#This Row],[Replan]])</f>
        <v/>
      </c>
      <c r="L94" s="20" t="s">
        <v>1035</v>
      </c>
      <c r="M94" s="21"/>
      <c r="N94" s="21"/>
      <c r="O94" s="19"/>
      <c r="P94" s="19"/>
      <c r="Q94" s="19"/>
      <c r="R94" s="105"/>
      <c r="S94" s="38">
        <f t="shared" si="0"/>
        <v>3</v>
      </c>
      <c r="T94" s="23"/>
    </row>
    <row r="95" spans="1:20" s="11" customFormat="1" ht="12.5" x14ac:dyDescent="0.35">
      <c r="A95" s="18" t="str">
        <f>_xlfn.XLOOKUP("*"&amp;Tabela1[[#This Row],[Processo]]&amp;"*",'Árvore de Localização'!$H:$H,'Árvore de Localização'!$G:$G,"0000",2)</f>
        <v>2110.B</v>
      </c>
      <c r="B95" s="38" t="str">
        <f>_xlfn.XLOOKUP(Tabela1[[#This Row],[Processo]],'Árvore de Localização'!$D:$D,'Árvore de Localização'!$B:$B,"",0,1)</f>
        <v>Utilidades</v>
      </c>
      <c r="C95" s="42" t="str">
        <f>_xlfn.XLOOKUP(Tabela1[[#This Row],[Processo]],'Árvore de Localização'!$D:$D,'Árvore de Localização'!$C:$C,"",0,1)</f>
        <v>Estação de Tratamento de Água (ETA)</v>
      </c>
      <c r="D95" s="39" t="s">
        <v>237</v>
      </c>
      <c r="E95" s="22" t="s">
        <v>41</v>
      </c>
      <c r="F95" s="19" t="s">
        <v>43</v>
      </c>
      <c r="G95" s="101"/>
      <c r="H95" s="101"/>
      <c r="I95" s="112"/>
      <c r="J95" s="119"/>
      <c r="K95" s="52" t="str">
        <f>IF(OR(Tabela1[[#This Row],[Replan]]="",Tabela1[[#This Row],[Previsto (LB)]]=""),"",Tabela1[[#This Row],[Previsto (LB)]]-Tabela1[[#This Row],[Replan]])</f>
        <v/>
      </c>
      <c r="L95" s="20" t="s">
        <v>1041</v>
      </c>
      <c r="M95" s="21"/>
      <c r="N95" s="21"/>
      <c r="O95" s="19"/>
      <c r="P95" s="19"/>
      <c r="Q95" s="19"/>
      <c r="R95" s="105"/>
      <c r="S95" s="38">
        <f t="shared" si="0"/>
        <v>3</v>
      </c>
      <c r="T95" s="23"/>
    </row>
    <row r="96" spans="1:20" s="11" customFormat="1" ht="12.5" x14ac:dyDescent="0.35">
      <c r="A96" s="18" t="str">
        <f>_xlfn.XLOOKUP("*"&amp;Tabela1[[#This Row],[Processo]]&amp;"*",'Árvore de Localização'!$H:$H,'Árvore de Localização'!$G:$G,"0000",2)</f>
        <v>2110.B</v>
      </c>
      <c r="B96" s="38" t="str">
        <f>_xlfn.XLOOKUP(Tabela1[[#This Row],[Processo]],'Árvore de Localização'!$D:$D,'Árvore de Localização'!$B:$B,"",0,1)</f>
        <v>Utilidades</v>
      </c>
      <c r="C96" s="42" t="str">
        <f>_xlfn.XLOOKUP(Tabela1[[#This Row],[Processo]],'Árvore de Localização'!$D:$D,'Árvore de Localização'!$C:$C,"",0,1)</f>
        <v>Estação de Tratamento de Água (ETA)</v>
      </c>
      <c r="D96" s="39" t="s">
        <v>237</v>
      </c>
      <c r="E96" s="22" t="s">
        <v>41</v>
      </c>
      <c r="F96" s="19" t="s">
        <v>43</v>
      </c>
      <c r="G96" s="101"/>
      <c r="H96" s="101"/>
      <c r="I96" s="112"/>
      <c r="J96" s="119"/>
      <c r="K96" s="52" t="str">
        <f>IF(OR(Tabela1[[#This Row],[Replan]]="",Tabela1[[#This Row],[Previsto (LB)]]=""),"",Tabela1[[#This Row],[Previsto (LB)]]-Tabela1[[#This Row],[Replan]])</f>
        <v/>
      </c>
      <c r="L96" s="20" t="s">
        <v>1036</v>
      </c>
      <c r="M96" s="21"/>
      <c r="N96" s="21"/>
      <c r="O96" s="19"/>
      <c r="P96" s="19"/>
      <c r="Q96" s="19"/>
      <c r="R96" s="105"/>
      <c r="S96" s="38">
        <f t="shared" si="0"/>
        <v>3</v>
      </c>
      <c r="T96" s="23"/>
    </row>
    <row r="97" spans="1:20" s="11" customFormat="1" ht="12.5" x14ac:dyDescent="0.35">
      <c r="A97" s="18" t="str">
        <f>_xlfn.XLOOKUP("*"&amp;Tabela1[[#This Row],[Processo]]&amp;"*",'Árvore de Localização'!$H:$H,'Árvore de Localização'!$G:$G,"0000",2)</f>
        <v>2110.B</v>
      </c>
      <c r="B97" s="38" t="str">
        <f>_xlfn.XLOOKUP(Tabela1[[#This Row],[Processo]],'Árvore de Localização'!$D:$D,'Árvore de Localização'!$B:$B,"",0,1)</f>
        <v>Utilidades</v>
      </c>
      <c r="C97" s="42" t="str">
        <f>_xlfn.XLOOKUP(Tabela1[[#This Row],[Processo]],'Árvore de Localização'!$D:$D,'Árvore de Localização'!$C:$C,"",0,1)</f>
        <v>Estação de Tratamento de Água (ETA)</v>
      </c>
      <c r="D97" s="39" t="s">
        <v>237</v>
      </c>
      <c r="E97" s="22" t="s">
        <v>41</v>
      </c>
      <c r="F97" s="19" t="s">
        <v>43</v>
      </c>
      <c r="G97" s="101"/>
      <c r="H97" s="101"/>
      <c r="I97" s="112"/>
      <c r="J97" s="119"/>
      <c r="K97" s="52" t="str">
        <f>IF(OR(Tabela1[[#This Row],[Replan]]="",Tabela1[[#This Row],[Previsto (LB)]]=""),"",Tabela1[[#This Row],[Previsto (LB)]]-Tabela1[[#This Row],[Replan]])</f>
        <v/>
      </c>
      <c r="L97" s="20" t="s">
        <v>1051</v>
      </c>
      <c r="M97" s="21"/>
      <c r="N97" s="21"/>
      <c r="O97" s="19"/>
      <c r="P97" s="19"/>
      <c r="Q97" s="19"/>
      <c r="R97" s="105"/>
      <c r="S97" s="38">
        <f>IF(R97="Não iniciado",1,IF(R97="Em andamento",2,3))</f>
        <v>3</v>
      </c>
      <c r="T97" s="27"/>
    </row>
    <row r="98" spans="1:20" s="11" customFormat="1" ht="12.5" x14ac:dyDescent="0.35">
      <c r="A98" s="18" t="str">
        <f>_xlfn.XLOOKUP("*"&amp;Tabela1[[#This Row],[Processo]]&amp;"*",'Árvore de Localização'!$H:$H,'Árvore de Localização'!$G:$G,"0000",2)</f>
        <v>2110.B</v>
      </c>
      <c r="B98" s="38" t="str">
        <f>_xlfn.XLOOKUP(Tabela1[[#This Row],[Processo]],'Árvore de Localização'!$D:$D,'Árvore de Localização'!$B:$B,"",0,1)</f>
        <v>Utilidades</v>
      </c>
      <c r="C98" s="42" t="str">
        <f>_xlfn.XLOOKUP(Tabela1[[#This Row],[Processo]],'Árvore de Localização'!$D:$D,'Árvore de Localização'!$C:$C,"",0,1)</f>
        <v>Estação de Tratamento de Água (ETA)</v>
      </c>
      <c r="D98" s="39" t="s">
        <v>237</v>
      </c>
      <c r="E98" s="22" t="s">
        <v>41</v>
      </c>
      <c r="F98" s="19" t="s">
        <v>43</v>
      </c>
      <c r="G98" s="101"/>
      <c r="H98" s="101"/>
      <c r="I98" s="112"/>
      <c r="J98" s="119"/>
      <c r="K98" s="52" t="str">
        <f>IF(OR(Tabela1[[#This Row],[Replan]]="",Tabela1[[#This Row],[Previsto (LB)]]=""),"",Tabela1[[#This Row],[Previsto (LB)]]-Tabela1[[#This Row],[Replan]])</f>
        <v/>
      </c>
      <c r="L98" s="20" t="s">
        <v>1042</v>
      </c>
      <c r="M98" s="21"/>
      <c r="N98" s="21"/>
      <c r="O98" s="19"/>
      <c r="P98" s="19"/>
      <c r="Q98" s="19"/>
      <c r="R98" s="105"/>
      <c r="S98" s="38">
        <f t="shared" ref="S98:S99" si="9">IF(R98="Não iniciado",1,IF(R98="Em andamento",2,3))</f>
        <v>3</v>
      </c>
      <c r="T98" s="27"/>
    </row>
    <row r="99" spans="1:20" s="11" customFormat="1" ht="12.5" x14ac:dyDescent="0.35">
      <c r="A99" s="18" t="str">
        <f>_xlfn.XLOOKUP("*"&amp;Tabela1[[#This Row],[Processo]]&amp;"*",'Árvore de Localização'!$H:$H,'Árvore de Localização'!$G:$G,"0000",2)</f>
        <v>2110.B</v>
      </c>
      <c r="B99" s="38" t="str">
        <f>_xlfn.XLOOKUP(Tabela1[[#This Row],[Processo]],'Árvore de Localização'!$D:$D,'Árvore de Localização'!$B:$B,"",0,1)</f>
        <v>Utilidades</v>
      </c>
      <c r="C99" s="42" t="str">
        <f>_xlfn.XLOOKUP(Tabela1[[#This Row],[Processo]],'Árvore de Localização'!$D:$D,'Árvore de Localização'!$C:$C,"",0,1)</f>
        <v>Estação de Tratamento de Água (ETA)</v>
      </c>
      <c r="D99" s="39" t="s">
        <v>237</v>
      </c>
      <c r="E99" s="22" t="s">
        <v>41</v>
      </c>
      <c r="F99" s="19" t="s">
        <v>43</v>
      </c>
      <c r="G99" s="101"/>
      <c r="H99" s="101"/>
      <c r="I99" s="112"/>
      <c r="J99" s="119"/>
      <c r="K99" s="52" t="str">
        <f>IF(OR(Tabela1[[#This Row],[Replan]]="",Tabela1[[#This Row],[Previsto (LB)]]=""),"",Tabela1[[#This Row],[Previsto (LB)]]-Tabela1[[#This Row],[Replan]])</f>
        <v/>
      </c>
      <c r="L99" s="20" t="s">
        <v>1037</v>
      </c>
      <c r="M99" s="25"/>
      <c r="N99" s="21"/>
      <c r="O99" s="19"/>
      <c r="P99" s="19"/>
      <c r="Q99" s="19"/>
      <c r="R99" s="105"/>
      <c r="S99" s="38">
        <f t="shared" si="9"/>
        <v>3</v>
      </c>
      <c r="T99" s="27"/>
    </row>
    <row r="100" spans="1:20" s="11" customFormat="1" ht="12.5" x14ac:dyDescent="0.35">
      <c r="A100" s="18" t="str">
        <f>_xlfn.XLOOKUP("*"&amp;Tabela1[[#This Row],[Processo]]&amp;"*",'Árvore de Localização'!$H:$H,'Árvore de Localização'!$G:$G,"0000",2)</f>
        <v>2110.B</v>
      </c>
      <c r="B100" s="38" t="str">
        <f>_xlfn.XLOOKUP(Tabela1[[#This Row],[Processo]],'Árvore de Localização'!$D:$D,'Árvore de Localização'!$B:$B,"",0,1)</f>
        <v>Utilidades</v>
      </c>
      <c r="C100" s="42" t="str">
        <f>_xlfn.XLOOKUP(Tabela1[[#This Row],[Processo]],'Árvore de Localização'!$D:$D,'Árvore de Localização'!$C:$C,"",0,1)</f>
        <v>Estação de Tratamento de Água (ETA)</v>
      </c>
      <c r="D100" s="39" t="s">
        <v>237</v>
      </c>
      <c r="E100" s="22" t="s">
        <v>41</v>
      </c>
      <c r="F100" s="19" t="s">
        <v>43</v>
      </c>
      <c r="G100" s="101"/>
      <c r="H100" s="101"/>
      <c r="I100" s="112"/>
      <c r="J100" s="119"/>
      <c r="K100" s="52" t="str">
        <f>IF(OR(Tabela1[[#This Row],[Replan]]="",Tabela1[[#This Row],[Previsto (LB)]]=""),"",Tabela1[[#This Row],[Previsto (LB)]]-Tabela1[[#This Row],[Replan]])</f>
        <v/>
      </c>
      <c r="L100" s="20" t="s">
        <v>1043</v>
      </c>
      <c r="M100" s="25"/>
      <c r="N100" s="21"/>
      <c r="O100" s="19"/>
      <c r="P100" s="19"/>
      <c r="Q100" s="19"/>
      <c r="R100" s="105"/>
      <c r="S100" s="38">
        <f>IF(R100="Não iniciado",1,IF(R100="Em andamento",2,3))</f>
        <v>3</v>
      </c>
      <c r="T100" s="27"/>
    </row>
    <row r="101" spans="1:20" s="11" customFormat="1" ht="12.5" x14ac:dyDescent="0.35">
      <c r="A101" s="18" t="str">
        <f>_xlfn.XLOOKUP("*"&amp;Tabela1[[#This Row],[Processo]]&amp;"*",'Árvore de Localização'!$H:$H,'Árvore de Localização'!$G:$G,"0000",2)</f>
        <v>2110.B</v>
      </c>
      <c r="B101" s="38" t="str">
        <f>_xlfn.XLOOKUP(Tabela1[[#This Row],[Processo]],'Árvore de Localização'!$D:$D,'Árvore de Localização'!$B:$B,"",0,1)</f>
        <v>Utilidades</v>
      </c>
      <c r="C101" s="42" t="str">
        <f>_xlfn.XLOOKUP(Tabela1[[#This Row],[Processo]],'Árvore de Localização'!$D:$D,'Árvore de Localização'!$C:$C,"",0,1)</f>
        <v>Estação de Tratamento de Água (ETA)</v>
      </c>
      <c r="D101" s="39" t="s">
        <v>237</v>
      </c>
      <c r="E101" s="22" t="s">
        <v>41</v>
      </c>
      <c r="F101" s="19" t="s">
        <v>43</v>
      </c>
      <c r="G101" s="101"/>
      <c r="H101" s="101"/>
      <c r="I101" s="112"/>
      <c r="J101" s="119"/>
      <c r="K101" s="52" t="str">
        <f>IF(OR(Tabela1[[#This Row],[Replan]]="",Tabela1[[#This Row],[Previsto (LB)]]=""),"",Tabela1[[#This Row],[Previsto (LB)]]-Tabela1[[#This Row],[Replan]])</f>
        <v/>
      </c>
      <c r="L101" s="20" t="s">
        <v>1038</v>
      </c>
      <c r="M101" s="21"/>
      <c r="N101" s="21"/>
      <c r="O101" s="19"/>
      <c r="P101" s="19"/>
      <c r="Q101" s="19"/>
      <c r="R101" s="105"/>
      <c r="S101" s="38">
        <f>IF(R101="Não iniciado",1,IF(R101="Em andamento",2,3))</f>
        <v>3</v>
      </c>
      <c r="T101" s="27"/>
    </row>
    <row r="102" spans="1:20" s="11" customFormat="1" ht="12.5" x14ac:dyDescent="0.35">
      <c r="A102" s="18" t="str">
        <f>_xlfn.XLOOKUP("*"&amp;Tabela1[[#This Row],[Processo]]&amp;"*",'Árvore de Localização'!$H:$H,'Árvore de Localização'!$G:$G,"0000",2)</f>
        <v>0000</v>
      </c>
      <c r="B102" s="38" t="str">
        <f>_xlfn.XLOOKUP(Tabela1[[#This Row],[Processo]],'Árvore de Localização'!$D:$D,'Árvore de Localização'!$B:$B,"",0,1)</f>
        <v>Efluentes</v>
      </c>
      <c r="C102" s="42" t="str">
        <f>_xlfn.XLOOKUP(Tabela1[[#This Row],[Processo]],'Árvore de Localização'!$D:$D,'Árvore de Localização'!$C:$C,"",0,1)</f>
        <v>Estação de Tratamento de Efluentes (ETE)</v>
      </c>
      <c r="D102" s="39" t="s">
        <v>311</v>
      </c>
      <c r="E102" s="22" t="s">
        <v>4</v>
      </c>
      <c r="F102" s="19" t="s">
        <v>43</v>
      </c>
      <c r="G102" s="101"/>
      <c r="H102" s="101"/>
      <c r="I102" s="112"/>
      <c r="J102" s="119"/>
      <c r="K102" s="52" t="str">
        <f>IF(OR(Tabela1[[#This Row],[Replan]]="",Tabela1[[#This Row],[Previsto (LB)]]=""),"",Tabela1[[#This Row],[Previsto (LB)]]-Tabela1[[#This Row],[Replan]])</f>
        <v/>
      </c>
      <c r="L102" s="20" t="s">
        <v>1510</v>
      </c>
      <c r="M102" s="25"/>
      <c r="N102" s="25"/>
      <c r="O102" s="19"/>
      <c r="P102" s="19"/>
      <c r="Q102" s="19"/>
      <c r="R102" s="105"/>
      <c r="S102" s="38">
        <f t="shared" si="0"/>
        <v>3</v>
      </c>
      <c r="T102" s="23"/>
    </row>
    <row r="103" spans="1:20" s="11" customFormat="1" ht="12.5" x14ac:dyDescent="0.35">
      <c r="A103" s="18" t="str">
        <f>_xlfn.XLOOKUP("*"&amp;Tabela1[[#This Row],[Processo]]&amp;"*",'Árvore de Localização'!$H:$H,'Árvore de Localização'!$G:$G,"0000",2)</f>
        <v>0000</v>
      </c>
      <c r="B103" s="38" t="str">
        <f>_xlfn.XLOOKUP(Tabela1[[#This Row],[Processo]],'Árvore de Localização'!$D:$D,'Árvore de Localização'!$B:$B,"",0,1)</f>
        <v>Efluentes</v>
      </c>
      <c r="C103" s="42" t="str">
        <f>_xlfn.XLOOKUP(Tabela1[[#This Row],[Processo]],'Árvore de Localização'!$D:$D,'Árvore de Localização'!$C:$C,"",0,1)</f>
        <v>Estação de Tratamento de Efluentes (ETE)</v>
      </c>
      <c r="D103" s="39" t="s">
        <v>311</v>
      </c>
      <c r="E103" s="22" t="s">
        <v>4</v>
      </c>
      <c r="F103" s="19" t="s">
        <v>43</v>
      </c>
      <c r="G103" s="101"/>
      <c r="H103" s="101"/>
      <c r="I103" s="112"/>
      <c r="J103" s="119"/>
      <c r="K103" s="52" t="str">
        <f>IF(OR(Tabela1[[#This Row],[Replan]]="",Tabela1[[#This Row],[Previsto (LB)]]=""),"",Tabela1[[#This Row],[Previsto (LB)]]-Tabela1[[#This Row],[Replan]])</f>
        <v/>
      </c>
      <c r="L103" s="20" t="s">
        <v>1511</v>
      </c>
      <c r="M103" s="21"/>
      <c r="N103" s="21"/>
      <c r="O103" s="19"/>
      <c r="P103" s="19"/>
      <c r="Q103" s="19"/>
      <c r="R103" s="105"/>
      <c r="S103" s="38">
        <f t="shared" si="0"/>
        <v>3</v>
      </c>
      <c r="T103" s="23"/>
    </row>
    <row r="104" spans="1:20" s="11" customFormat="1" ht="12.5" x14ac:dyDescent="0.35">
      <c r="A104" s="18" t="str">
        <f>_xlfn.XLOOKUP("*"&amp;Tabela1[[#This Row],[Processo]]&amp;"*",'Árvore de Localização'!$H:$H,'Árvore de Localização'!$G:$G,"0000",2)</f>
        <v>0000</v>
      </c>
      <c r="B104" s="38" t="str">
        <f>_xlfn.XLOOKUP(Tabela1[[#This Row],[Processo]],'Árvore de Localização'!$D:$D,'Árvore de Localização'!$B:$B,"",0,1)</f>
        <v>Efluentes</v>
      </c>
      <c r="C104" s="42" t="str">
        <f>_xlfn.XLOOKUP(Tabela1[[#This Row],[Processo]],'Árvore de Localização'!$D:$D,'Árvore de Localização'!$C:$C,"",0,1)</f>
        <v>Estação de Tratamento de Efluentes (ETE)</v>
      </c>
      <c r="D104" s="39" t="s">
        <v>311</v>
      </c>
      <c r="E104" s="22" t="s">
        <v>4</v>
      </c>
      <c r="F104" s="19" t="s">
        <v>43</v>
      </c>
      <c r="G104" s="101"/>
      <c r="H104" s="101"/>
      <c r="I104" s="112"/>
      <c r="J104" s="119"/>
      <c r="K104" s="52" t="str">
        <f>IF(OR(Tabela1[[#This Row],[Replan]]="",Tabela1[[#This Row],[Previsto (LB)]]=""),"",Tabela1[[#This Row],[Previsto (LB)]]-Tabela1[[#This Row],[Replan]])</f>
        <v/>
      </c>
      <c r="L104" s="20" t="s">
        <v>1515</v>
      </c>
      <c r="M104" s="21"/>
      <c r="N104" s="21"/>
      <c r="O104" s="19"/>
      <c r="P104" s="19"/>
      <c r="Q104" s="19"/>
      <c r="R104" s="105"/>
      <c r="S104" s="38">
        <f t="shared" si="0"/>
        <v>3</v>
      </c>
      <c r="T104" s="23"/>
    </row>
    <row r="105" spans="1:20" s="11" customFormat="1" ht="12.5" x14ac:dyDescent="0.35">
      <c r="A105" s="18" t="str">
        <f>_xlfn.XLOOKUP("*"&amp;Tabela1[[#This Row],[Processo]]&amp;"*",'Árvore de Localização'!$H:$H,'Árvore de Localização'!$G:$G,"0000",2)</f>
        <v>0000</v>
      </c>
      <c r="B105" s="38" t="str">
        <f>_xlfn.XLOOKUP(Tabela1[[#This Row],[Processo]],'Árvore de Localização'!$D:$D,'Árvore de Localização'!$B:$B,"",0,1)</f>
        <v>Efluentes</v>
      </c>
      <c r="C105" s="42" t="str">
        <f>_xlfn.XLOOKUP(Tabela1[[#This Row],[Processo]],'Árvore de Localização'!$D:$D,'Árvore de Localização'!$C:$C,"",0,1)</f>
        <v>Estação de Tratamento de Efluentes (ETE)</v>
      </c>
      <c r="D105" s="39" t="s">
        <v>311</v>
      </c>
      <c r="E105" s="22" t="s">
        <v>4</v>
      </c>
      <c r="F105" s="19" t="s">
        <v>43</v>
      </c>
      <c r="G105" s="101"/>
      <c r="H105" s="101"/>
      <c r="I105" s="112"/>
      <c r="J105" s="119"/>
      <c r="K105" s="52" t="str">
        <f>IF(OR(Tabela1[[#This Row],[Replan]]="",Tabela1[[#This Row],[Previsto (LB)]]=""),"",Tabela1[[#This Row],[Previsto (LB)]]-Tabela1[[#This Row],[Replan]])</f>
        <v/>
      </c>
      <c r="L105" s="20" t="s">
        <v>1678</v>
      </c>
      <c r="M105" s="21"/>
      <c r="N105" s="21"/>
      <c r="O105" s="19"/>
      <c r="P105" s="19"/>
      <c r="Q105" s="19"/>
      <c r="R105" s="105"/>
      <c r="S105" s="38">
        <f t="shared" si="0"/>
        <v>3</v>
      </c>
      <c r="T105" s="23"/>
    </row>
    <row r="106" spans="1:20" s="11" customFormat="1" ht="12.5" x14ac:dyDescent="0.35">
      <c r="A106" s="18" t="str">
        <f>_xlfn.XLOOKUP("*"&amp;Tabela1[[#This Row],[Processo]]&amp;"*",'Árvore de Localização'!$H:$H,'Árvore de Localização'!$G:$G,"0000",2)</f>
        <v>0000</v>
      </c>
      <c r="B106" s="38" t="str">
        <f>_xlfn.XLOOKUP(Tabela1[[#This Row],[Processo]],'Árvore de Localização'!$D:$D,'Árvore de Localização'!$B:$B,"",0,1)</f>
        <v>Efluentes</v>
      </c>
      <c r="C106" s="42" t="str">
        <f>_xlfn.XLOOKUP(Tabela1[[#This Row],[Processo]],'Árvore de Localização'!$D:$D,'Árvore de Localização'!$C:$C,"",0,1)</f>
        <v>Estação de Tratamento de Efluentes (ETE)</v>
      </c>
      <c r="D106" s="39" t="s">
        <v>311</v>
      </c>
      <c r="E106" s="22" t="s">
        <v>4</v>
      </c>
      <c r="F106" s="19" t="s">
        <v>43</v>
      </c>
      <c r="G106" s="101"/>
      <c r="H106" s="101"/>
      <c r="I106" s="112"/>
      <c r="J106" s="119"/>
      <c r="K106" s="52" t="str">
        <f>IF(OR(Tabela1[[#This Row],[Replan]]="",Tabela1[[#This Row],[Previsto (LB)]]=""),"",Tabela1[[#This Row],[Previsto (LB)]]-Tabela1[[#This Row],[Replan]])</f>
        <v/>
      </c>
      <c r="L106" s="20" t="s">
        <v>1525</v>
      </c>
      <c r="M106" s="21"/>
      <c r="N106" s="21"/>
      <c r="O106" s="19"/>
      <c r="P106" s="19"/>
      <c r="Q106" s="19"/>
      <c r="R106" s="105"/>
      <c r="S106" s="38">
        <f t="shared" si="0"/>
        <v>3</v>
      </c>
      <c r="T106" s="23"/>
    </row>
    <row r="107" spans="1:20" s="11" customFormat="1" ht="12.5" x14ac:dyDescent="0.35">
      <c r="A107" s="18" t="str">
        <f>_xlfn.XLOOKUP("*"&amp;Tabela1[[#This Row],[Processo]]&amp;"*",'Árvore de Localização'!$H:$H,'Árvore de Localização'!$G:$G,"0000",2)</f>
        <v>0000</v>
      </c>
      <c r="B107" s="38" t="str">
        <f>_xlfn.XLOOKUP(Tabela1[[#This Row],[Processo]],'Árvore de Localização'!$D:$D,'Árvore de Localização'!$B:$B,"",0,1)</f>
        <v>Efluentes</v>
      </c>
      <c r="C107" s="42" t="str">
        <f>_xlfn.XLOOKUP(Tabela1[[#This Row],[Processo]],'Árvore de Localização'!$D:$D,'Árvore de Localização'!$C:$C,"",0,1)</f>
        <v>Estação de Tratamento de Efluentes (ETE)</v>
      </c>
      <c r="D107" s="39" t="s">
        <v>311</v>
      </c>
      <c r="E107" s="22" t="s">
        <v>4</v>
      </c>
      <c r="F107" s="19" t="s">
        <v>43</v>
      </c>
      <c r="G107" s="101"/>
      <c r="H107" s="101"/>
      <c r="I107" s="112"/>
      <c r="J107" s="119"/>
      <c r="K107" s="52" t="str">
        <f>IF(OR(Tabela1[[#This Row],[Replan]]="",Tabela1[[#This Row],[Previsto (LB)]]=""),"",Tabela1[[#This Row],[Previsto (LB)]]-Tabela1[[#This Row],[Replan]])</f>
        <v/>
      </c>
      <c r="L107" s="20" t="s">
        <v>1516</v>
      </c>
      <c r="M107" s="21"/>
      <c r="N107" s="21"/>
      <c r="O107" s="19"/>
      <c r="P107" s="19"/>
      <c r="Q107" s="19"/>
      <c r="R107" s="105"/>
      <c r="S107" s="38">
        <f t="shared" si="0"/>
        <v>3</v>
      </c>
      <c r="T107" s="23"/>
    </row>
    <row r="108" spans="1:20" s="11" customFormat="1" ht="12.5" x14ac:dyDescent="0.35">
      <c r="A108" s="18" t="str">
        <f>_xlfn.XLOOKUP("*"&amp;Tabela1[[#This Row],[Processo]]&amp;"*",'Árvore de Localização'!$H:$H,'Árvore de Localização'!$G:$G,"0000",2)</f>
        <v>0000</v>
      </c>
      <c r="B108" s="38" t="str">
        <f>_xlfn.XLOOKUP(Tabela1[[#This Row],[Processo]],'Árvore de Localização'!$D:$D,'Árvore de Localização'!$B:$B,"",0,1)</f>
        <v>Efluentes</v>
      </c>
      <c r="C108" s="42" t="str">
        <f>_xlfn.XLOOKUP(Tabela1[[#This Row],[Processo]],'Árvore de Localização'!$D:$D,'Árvore de Localização'!$C:$C,"",0,1)</f>
        <v>Estação de Tratamento de Efluentes (ETE)</v>
      </c>
      <c r="D108" s="39" t="s">
        <v>311</v>
      </c>
      <c r="E108" s="22" t="s">
        <v>4</v>
      </c>
      <c r="F108" s="19" t="s">
        <v>43</v>
      </c>
      <c r="G108" s="101"/>
      <c r="H108" s="101"/>
      <c r="I108" s="112"/>
      <c r="J108" s="119"/>
      <c r="K108" s="52" t="str">
        <f>IF(OR(Tabela1[[#This Row],[Replan]]="",Tabela1[[#This Row],[Previsto (LB)]]=""),"",Tabela1[[#This Row],[Previsto (LB)]]-Tabela1[[#This Row],[Replan]])</f>
        <v/>
      </c>
      <c r="L108" s="20" t="s">
        <v>1679</v>
      </c>
      <c r="M108" s="25"/>
      <c r="N108" s="21"/>
      <c r="O108" s="19"/>
      <c r="P108" s="19"/>
      <c r="Q108" s="19"/>
      <c r="R108" s="105"/>
      <c r="S108" s="38">
        <f t="shared" si="0"/>
        <v>3</v>
      </c>
      <c r="T108" s="23"/>
    </row>
    <row r="109" spans="1:20" s="11" customFormat="1" ht="12.5" x14ac:dyDescent="0.35">
      <c r="A109" s="18" t="str">
        <f>_xlfn.XLOOKUP("*"&amp;Tabela1[[#This Row],[Processo]]&amp;"*",'Árvore de Localização'!$H:$H,'Árvore de Localização'!$G:$G,"0000",2)</f>
        <v>0000</v>
      </c>
      <c r="B109" s="38" t="str">
        <f>_xlfn.XLOOKUP(Tabela1[[#This Row],[Processo]],'Árvore de Localização'!$D:$D,'Árvore de Localização'!$B:$B,"",0,1)</f>
        <v>Efluentes</v>
      </c>
      <c r="C109" s="42" t="str">
        <f>_xlfn.XLOOKUP(Tabela1[[#This Row],[Processo]],'Árvore de Localização'!$D:$D,'Árvore de Localização'!$C:$C,"",0,1)</f>
        <v>Estação de Tratamento de Efluentes (ETE)</v>
      </c>
      <c r="D109" s="39" t="s">
        <v>311</v>
      </c>
      <c r="E109" s="22" t="s">
        <v>4</v>
      </c>
      <c r="F109" s="19" t="s">
        <v>43</v>
      </c>
      <c r="G109" s="101"/>
      <c r="H109" s="101"/>
      <c r="I109" s="112"/>
      <c r="J109" s="119"/>
      <c r="K109" s="52" t="str">
        <f>IF(OR(Tabela1[[#This Row],[Replan]]="",Tabela1[[#This Row],[Previsto (LB)]]=""),"",Tabela1[[#This Row],[Previsto (LB)]]-Tabela1[[#This Row],[Replan]])</f>
        <v/>
      </c>
      <c r="L109" s="20" t="s">
        <v>1517</v>
      </c>
      <c r="M109" s="25"/>
      <c r="N109" s="21"/>
      <c r="O109" s="19"/>
      <c r="P109" s="19"/>
      <c r="Q109" s="19"/>
      <c r="R109" s="105"/>
      <c r="S109" s="38">
        <f t="shared" si="0"/>
        <v>3</v>
      </c>
      <c r="T109" s="23"/>
    </row>
    <row r="110" spans="1:20" s="11" customFormat="1" ht="12.5" x14ac:dyDescent="0.35">
      <c r="A110" s="18" t="str">
        <f>_xlfn.XLOOKUP("*"&amp;Tabela1[[#This Row],[Processo]]&amp;"*",'Árvore de Localização'!$H:$H,'Árvore de Localização'!$G:$G,"0000",2)</f>
        <v>0000</v>
      </c>
      <c r="B110" s="38" t="str">
        <f>_xlfn.XLOOKUP(Tabela1[[#This Row],[Processo]],'Árvore de Localização'!$D:$D,'Árvore de Localização'!$B:$B,"",0,1)</f>
        <v>Efluentes</v>
      </c>
      <c r="C110" s="42" t="str">
        <f>_xlfn.XLOOKUP(Tabela1[[#This Row],[Processo]],'Árvore de Localização'!$D:$D,'Árvore de Localização'!$C:$C,"",0,1)</f>
        <v>Estação de Tratamento de Efluentes (ETE)</v>
      </c>
      <c r="D110" s="39" t="s">
        <v>311</v>
      </c>
      <c r="E110" s="22" t="s">
        <v>4</v>
      </c>
      <c r="F110" s="19" t="s">
        <v>43</v>
      </c>
      <c r="G110" s="101"/>
      <c r="H110" s="101"/>
      <c r="I110" s="112"/>
      <c r="J110" s="119"/>
      <c r="K110" s="52" t="str">
        <f>IF(OR(Tabela1[[#This Row],[Replan]]="",Tabela1[[#This Row],[Previsto (LB)]]=""),"",Tabela1[[#This Row],[Previsto (LB)]]-Tabela1[[#This Row],[Replan]])</f>
        <v/>
      </c>
      <c r="L110" s="20" t="s">
        <v>1680</v>
      </c>
      <c r="M110" s="25"/>
      <c r="N110" s="21"/>
      <c r="O110" s="19"/>
      <c r="P110" s="19"/>
      <c r="Q110" s="19"/>
      <c r="R110" s="105"/>
      <c r="S110" s="38">
        <f>IF(R110="Não iniciado",1,IF(R110="Em andamento",2,3))</f>
        <v>3</v>
      </c>
      <c r="T110" s="27"/>
    </row>
    <row r="111" spans="1:20" s="11" customFormat="1" ht="12.5" x14ac:dyDescent="0.35">
      <c r="A111" s="18" t="str">
        <f>_xlfn.XLOOKUP("*"&amp;Tabela1[[#This Row],[Processo]]&amp;"*",'Árvore de Localização'!$H:$H,'Árvore de Localização'!$G:$G,"0000",2)</f>
        <v>0000</v>
      </c>
      <c r="B111" s="38" t="str">
        <f>_xlfn.XLOOKUP(Tabela1[[#This Row],[Processo]],'Árvore de Localização'!$D:$D,'Árvore de Localização'!$B:$B,"",0,1)</f>
        <v>Efluentes</v>
      </c>
      <c r="C111" s="42" t="str">
        <f>_xlfn.XLOOKUP(Tabela1[[#This Row],[Processo]],'Árvore de Localização'!$D:$D,'Árvore de Localização'!$C:$C,"",0,1)</f>
        <v>Estação de Tratamento de Efluentes (ETE)</v>
      </c>
      <c r="D111" s="39" t="s">
        <v>311</v>
      </c>
      <c r="E111" s="22" t="s">
        <v>4</v>
      </c>
      <c r="F111" s="19" t="s">
        <v>43</v>
      </c>
      <c r="G111" s="101"/>
      <c r="H111" s="101"/>
      <c r="I111" s="112"/>
      <c r="J111" s="119"/>
      <c r="K111" s="52" t="str">
        <f>IF(OR(Tabela1[[#This Row],[Replan]]="",Tabela1[[#This Row],[Previsto (LB)]]=""),"",Tabela1[[#This Row],[Previsto (LB)]]-Tabela1[[#This Row],[Replan]])</f>
        <v/>
      </c>
      <c r="L111" s="20" t="s">
        <v>1681</v>
      </c>
      <c r="M111" s="25"/>
      <c r="N111" s="21"/>
      <c r="O111" s="19"/>
      <c r="P111" s="19"/>
      <c r="Q111" s="19"/>
      <c r="R111" s="105"/>
      <c r="S111" s="38">
        <f>IF(R111="Não iniciado",1,IF(R111="Em andamento",2,3))</f>
        <v>3</v>
      </c>
      <c r="T111" s="27"/>
    </row>
    <row r="112" spans="1:20" s="11" customFormat="1" ht="12.5" x14ac:dyDescent="0.35">
      <c r="A112" s="18" t="str">
        <f>_xlfn.XLOOKUP("*"&amp;Tabela1[[#This Row],[Processo]]&amp;"*",'Árvore de Localização'!$H:$H,'Árvore de Localização'!$G:$G,"0000",2)</f>
        <v>0000</v>
      </c>
      <c r="B112" s="38" t="str">
        <f>_xlfn.XLOOKUP(Tabela1[[#This Row],[Processo]],'Árvore de Localização'!$D:$D,'Árvore de Localização'!$B:$B,"",0,1)</f>
        <v>Efluentes</v>
      </c>
      <c r="C112" s="42" t="str">
        <f>_xlfn.XLOOKUP(Tabela1[[#This Row],[Processo]],'Árvore de Localização'!$D:$D,'Árvore de Localização'!$C:$C,"",0,1)</f>
        <v>Estação de Tratamento de Efluentes (ETE)</v>
      </c>
      <c r="D112" s="39" t="s">
        <v>311</v>
      </c>
      <c r="E112" s="22" t="s">
        <v>4</v>
      </c>
      <c r="F112" s="19" t="s">
        <v>43</v>
      </c>
      <c r="G112" s="101"/>
      <c r="H112" s="101"/>
      <c r="I112" s="112"/>
      <c r="J112" s="119"/>
      <c r="K112" s="52" t="str">
        <f>IF(OR(Tabela1[[#This Row],[Replan]]="",Tabela1[[#This Row],[Previsto (LB)]]=""),"",Tabela1[[#This Row],[Previsto (LB)]]-Tabela1[[#This Row],[Replan]])</f>
        <v/>
      </c>
      <c r="L112" s="20" t="s">
        <v>1682</v>
      </c>
      <c r="M112" s="25"/>
      <c r="N112" s="21"/>
      <c r="O112" s="19"/>
      <c r="P112" s="19"/>
      <c r="Q112" s="19"/>
      <c r="R112" s="105"/>
      <c r="S112" s="38">
        <f>IF(R112="Não iniciado",1,IF(R112="Em andamento",2,3))</f>
        <v>3</v>
      </c>
      <c r="T112" s="27"/>
    </row>
    <row r="113" spans="1:20" s="11" customFormat="1" ht="12.5" x14ac:dyDescent="0.35">
      <c r="A113" s="18" t="str">
        <f>_xlfn.XLOOKUP("*"&amp;Tabela1[[#This Row],[Processo]]&amp;"*",'Árvore de Localização'!$H:$H,'Árvore de Localização'!$G:$G,"0000",2)</f>
        <v>2127.</v>
      </c>
      <c r="B113" s="38" t="str">
        <f>_xlfn.XLOOKUP(Tabela1[[#This Row],[Processo]],'Árvore de Localização'!$D:$D,'Árvore de Localização'!$B:$B,"",0,1)</f>
        <v>Etanol</v>
      </c>
      <c r="C113" s="42" t="str">
        <f>_xlfn.XLOOKUP(Tabela1[[#This Row],[Processo]],'Árvore de Localização'!$D:$D,'Árvore de Localização'!$C:$C,"",0,1)</f>
        <v>Armazenamento e Expedição de Etanol</v>
      </c>
      <c r="D113" s="39" t="s">
        <v>16</v>
      </c>
      <c r="E113" s="22" t="s">
        <v>16</v>
      </c>
      <c r="F113" s="19" t="s">
        <v>43</v>
      </c>
      <c r="G113" s="101"/>
      <c r="H113" s="101"/>
      <c r="I113" s="112"/>
      <c r="J113" s="119"/>
      <c r="K113" s="52" t="str">
        <f>IF(OR(Tabela1[[#This Row],[Replan]]="",Tabela1[[#This Row],[Previsto (LB)]]=""),"",Tabela1[[#This Row],[Previsto (LB)]]-Tabela1[[#This Row],[Replan]])</f>
        <v/>
      </c>
      <c r="L113" s="20" t="s">
        <v>652</v>
      </c>
      <c r="M113" s="21"/>
      <c r="N113" s="21"/>
      <c r="O113" s="19"/>
      <c r="P113" s="19"/>
      <c r="Q113" s="19"/>
      <c r="R113" s="105"/>
      <c r="S113" s="38">
        <f t="shared" ref="S113:S194" si="10">IF(R113="Não iniciado",1,IF(R113="Em andamento",2,3))</f>
        <v>3</v>
      </c>
      <c r="T113" s="23"/>
    </row>
    <row r="114" spans="1:20" s="11" customFormat="1" ht="12.5" x14ac:dyDescent="0.35">
      <c r="A114" s="18" t="str">
        <f>_xlfn.XLOOKUP("*"&amp;Tabela1[[#This Row],[Processo]]&amp;"*",'Árvore de Localização'!$H:$H,'Árvore de Localização'!$G:$G,"0000",2)</f>
        <v>2127.</v>
      </c>
      <c r="B114" s="38" t="str">
        <f>_xlfn.XLOOKUP(Tabela1[[#This Row],[Processo]],'Árvore de Localização'!$D:$D,'Árvore de Localização'!$B:$B,"",0,1)</f>
        <v>Etanol</v>
      </c>
      <c r="C114" s="42" t="str">
        <f>_xlfn.XLOOKUP(Tabela1[[#This Row],[Processo]],'Árvore de Localização'!$D:$D,'Árvore de Localização'!$C:$C,"",0,1)</f>
        <v>Armazenamento e Expedição de Etanol</v>
      </c>
      <c r="D114" s="39" t="s">
        <v>16</v>
      </c>
      <c r="E114" s="22" t="s">
        <v>16</v>
      </c>
      <c r="F114" s="19" t="s">
        <v>43</v>
      </c>
      <c r="G114" s="101"/>
      <c r="H114" s="101"/>
      <c r="I114" s="112"/>
      <c r="J114" s="119"/>
      <c r="K114" s="52" t="str">
        <f>IF(OR(Tabela1[[#This Row],[Replan]]="",Tabela1[[#This Row],[Previsto (LB)]]=""),"",Tabela1[[#This Row],[Previsto (LB)]]-Tabela1[[#This Row],[Replan]])</f>
        <v/>
      </c>
      <c r="L114" s="20" t="s">
        <v>667</v>
      </c>
      <c r="M114" s="21"/>
      <c r="N114" s="21"/>
      <c r="O114" s="19"/>
      <c r="P114" s="19"/>
      <c r="Q114" s="19"/>
      <c r="R114" s="105"/>
      <c r="S114" s="38">
        <f t="shared" si="10"/>
        <v>3</v>
      </c>
      <c r="T114" s="23"/>
    </row>
    <row r="115" spans="1:20" s="11" customFormat="1" ht="12.5" x14ac:dyDescent="0.35">
      <c r="A115" s="18" t="str">
        <f>_xlfn.XLOOKUP("*"&amp;Tabela1[[#This Row],[Processo]]&amp;"*",'Árvore de Localização'!$H:$H,'Árvore de Localização'!$G:$G,"0000",2)</f>
        <v>2127.</v>
      </c>
      <c r="B115" s="38" t="str">
        <f>_xlfn.XLOOKUP(Tabela1[[#This Row],[Processo]],'Árvore de Localização'!$D:$D,'Árvore de Localização'!$B:$B,"",0,1)</f>
        <v>Etanol</v>
      </c>
      <c r="C115" s="42" t="str">
        <f>_xlfn.XLOOKUP(Tabela1[[#This Row],[Processo]],'Árvore de Localização'!$D:$D,'Árvore de Localização'!$C:$C,"",0,1)</f>
        <v>Armazenamento e Expedição de Etanol</v>
      </c>
      <c r="D115" s="39" t="s">
        <v>16</v>
      </c>
      <c r="E115" s="22" t="s">
        <v>16</v>
      </c>
      <c r="F115" s="19" t="s">
        <v>43</v>
      </c>
      <c r="G115" s="101"/>
      <c r="H115" s="101"/>
      <c r="I115" s="112"/>
      <c r="J115" s="119"/>
      <c r="K115" s="52" t="str">
        <f>IF(OR(Tabela1[[#This Row],[Replan]]="",Tabela1[[#This Row],[Previsto (LB)]]=""),"",Tabela1[[#This Row],[Previsto (LB)]]-Tabela1[[#This Row],[Replan]])</f>
        <v/>
      </c>
      <c r="L115" s="20" t="s">
        <v>660</v>
      </c>
      <c r="M115" s="21"/>
      <c r="N115" s="21"/>
      <c r="O115" s="19"/>
      <c r="P115" s="19"/>
      <c r="Q115" s="19"/>
      <c r="R115" s="105"/>
      <c r="S115" s="38">
        <f t="shared" si="10"/>
        <v>3</v>
      </c>
      <c r="T115" s="23"/>
    </row>
    <row r="116" spans="1:20" s="11" customFormat="1" ht="12.5" x14ac:dyDescent="0.35">
      <c r="A116" s="18" t="str">
        <f>_xlfn.XLOOKUP("*"&amp;Tabela1[[#This Row],[Processo]]&amp;"*",'Árvore de Localização'!$H:$H,'Árvore de Localização'!$G:$G,"0000",2)</f>
        <v>2127.</v>
      </c>
      <c r="B116" s="38" t="str">
        <f>_xlfn.XLOOKUP(Tabela1[[#This Row],[Processo]],'Árvore de Localização'!$D:$D,'Árvore de Localização'!$B:$B,"",0,1)</f>
        <v>Etanol</v>
      </c>
      <c r="C116" s="42" t="str">
        <f>_xlfn.XLOOKUP(Tabela1[[#This Row],[Processo]],'Árvore de Localização'!$D:$D,'Árvore de Localização'!$C:$C,"",0,1)</f>
        <v>Armazenamento e Expedição de Etanol</v>
      </c>
      <c r="D116" s="39" t="s">
        <v>16</v>
      </c>
      <c r="E116" s="22" t="s">
        <v>16</v>
      </c>
      <c r="F116" s="19" t="s">
        <v>43</v>
      </c>
      <c r="G116" s="101"/>
      <c r="H116" s="101"/>
      <c r="I116" s="112"/>
      <c r="J116" s="119"/>
      <c r="K116" s="52" t="str">
        <f>IF(OR(Tabela1[[#This Row],[Replan]]="",Tabela1[[#This Row],[Previsto (LB)]]=""),"",Tabela1[[#This Row],[Previsto (LB)]]-Tabela1[[#This Row],[Replan]])</f>
        <v/>
      </c>
      <c r="L116" s="20" t="s">
        <v>653</v>
      </c>
      <c r="M116" s="25"/>
      <c r="N116" s="21"/>
      <c r="O116" s="19"/>
      <c r="P116" s="19"/>
      <c r="Q116" s="19"/>
      <c r="R116" s="105"/>
      <c r="S116" s="38">
        <f>IF(R116="Não iniciado",1,IF(R116="Em andamento",2,3))</f>
        <v>3</v>
      </c>
      <c r="T116" s="27"/>
    </row>
    <row r="117" spans="1:20" s="11" customFormat="1" ht="12.5" x14ac:dyDescent="0.35">
      <c r="A117" s="18" t="str">
        <f>_xlfn.XLOOKUP("*"&amp;Tabela1[[#This Row],[Processo]]&amp;"*",'Árvore de Localização'!$H:$H,'Árvore de Localização'!$G:$G,"0000",2)</f>
        <v>2127.</v>
      </c>
      <c r="B117" s="38" t="str">
        <f>_xlfn.XLOOKUP(Tabela1[[#This Row],[Processo]],'Árvore de Localização'!$D:$D,'Árvore de Localização'!$B:$B,"",0,1)</f>
        <v>Etanol</v>
      </c>
      <c r="C117" s="42" t="str">
        <f>_xlfn.XLOOKUP(Tabela1[[#This Row],[Processo]],'Árvore de Localização'!$D:$D,'Árvore de Localização'!$C:$C,"",0,1)</f>
        <v>Armazenamento e Expedição de Etanol</v>
      </c>
      <c r="D117" s="39" t="s">
        <v>16</v>
      </c>
      <c r="E117" s="22" t="s">
        <v>16</v>
      </c>
      <c r="F117" s="19" t="s">
        <v>43</v>
      </c>
      <c r="G117" s="101"/>
      <c r="H117" s="101"/>
      <c r="I117" s="112"/>
      <c r="J117" s="119"/>
      <c r="K117" s="52" t="str">
        <f>IF(OR(Tabela1[[#This Row],[Replan]]="",Tabela1[[#This Row],[Previsto (LB)]]=""),"",Tabela1[[#This Row],[Previsto (LB)]]-Tabela1[[#This Row],[Replan]])</f>
        <v/>
      </c>
      <c r="L117" s="20" t="s">
        <v>661</v>
      </c>
      <c r="M117" s="25"/>
      <c r="N117" s="21"/>
      <c r="O117" s="19"/>
      <c r="P117" s="19"/>
      <c r="Q117" s="19"/>
      <c r="R117" s="105"/>
      <c r="S117" s="38">
        <f>IF(R117="Não iniciado",1,IF(R117="Em andamento",2,3))</f>
        <v>3</v>
      </c>
      <c r="T117" s="27"/>
    </row>
    <row r="118" spans="1:20" s="11" customFormat="1" ht="12.5" x14ac:dyDescent="0.35">
      <c r="A118" s="18" t="str">
        <f>_xlfn.XLOOKUP("*"&amp;Tabela1[[#This Row],[Processo]]&amp;"*",'Árvore de Localização'!$H:$H,'Árvore de Localização'!$G:$G,"0000",2)</f>
        <v>2127.</v>
      </c>
      <c r="B118" s="38" t="str">
        <f>_xlfn.XLOOKUP(Tabela1[[#This Row],[Processo]],'Árvore de Localização'!$D:$D,'Árvore de Localização'!$B:$B,"",0,1)</f>
        <v>Etanol</v>
      </c>
      <c r="C118" s="42" t="str">
        <f>_xlfn.XLOOKUP(Tabela1[[#This Row],[Processo]],'Árvore de Localização'!$D:$D,'Árvore de Localização'!$C:$C,"",0,1)</f>
        <v>Armazenamento e Expedição de Etanol</v>
      </c>
      <c r="D118" s="39" t="s">
        <v>16</v>
      </c>
      <c r="E118" s="22" t="s">
        <v>16</v>
      </c>
      <c r="F118" s="19" t="s">
        <v>43</v>
      </c>
      <c r="G118" s="101"/>
      <c r="H118" s="101"/>
      <c r="I118" s="112"/>
      <c r="J118" s="119"/>
      <c r="K118" s="52" t="str">
        <f>IF(OR(Tabela1[[#This Row],[Replan]]="",Tabela1[[#This Row],[Previsto (LB)]]=""),"",Tabela1[[#This Row],[Previsto (LB)]]-Tabela1[[#This Row],[Replan]])</f>
        <v/>
      </c>
      <c r="L118" s="20" t="s">
        <v>654</v>
      </c>
      <c r="M118" s="21"/>
      <c r="N118" s="21"/>
      <c r="O118" s="19"/>
      <c r="P118" s="19"/>
      <c r="Q118" s="19"/>
      <c r="R118" s="105"/>
      <c r="S118" s="38">
        <f>IF(R118="Não iniciado",1,IF(R118="Em andamento",2,3))</f>
        <v>3</v>
      </c>
      <c r="T118" s="27"/>
    </row>
    <row r="119" spans="1:20" s="11" customFormat="1" ht="12.5" x14ac:dyDescent="0.35">
      <c r="A119" s="18" t="str">
        <f>_xlfn.XLOOKUP("*"&amp;Tabela1[[#This Row],[Processo]]&amp;"*",'Árvore de Localização'!$H:$H,'Árvore de Localização'!$G:$G,"0000",2)</f>
        <v>2120.A</v>
      </c>
      <c r="B119" s="38" t="str">
        <f>_xlfn.XLOOKUP(Tabela1[[#This Row],[Processo]],'Árvore de Localização'!$D:$D,'Árvore de Localização'!$B:$B,"",0,1)</f>
        <v>DDGSeÓleo</v>
      </c>
      <c r="C119" s="42" t="str">
        <f>_xlfn.XLOOKUP(Tabela1[[#This Row],[Processo]],'Árvore de Localização'!$D:$D,'Árvore de Localização'!$C:$C,"",0,1)</f>
        <v>Fábrica de Óleo</v>
      </c>
      <c r="D119" s="39" t="s">
        <v>203</v>
      </c>
      <c r="E119" s="19" t="s">
        <v>63</v>
      </c>
      <c r="F119" s="19" t="s">
        <v>43</v>
      </c>
      <c r="G119" s="101"/>
      <c r="H119" s="101"/>
      <c r="I119" s="112"/>
      <c r="J119" s="119"/>
      <c r="K119" s="52" t="str">
        <f>IF(OR(Tabela1[[#This Row],[Replan]]="",Tabela1[[#This Row],[Previsto (LB)]]=""),"",Tabela1[[#This Row],[Previsto (LB)]]-Tabela1[[#This Row],[Replan]])</f>
        <v/>
      </c>
      <c r="L119" s="20" t="s">
        <v>792</v>
      </c>
      <c r="M119" s="21"/>
      <c r="N119" s="25"/>
      <c r="O119" s="19"/>
      <c r="P119" s="19"/>
      <c r="Q119" s="19"/>
      <c r="R119" s="105"/>
      <c r="S119" s="38">
        <f t="shared" si="10"/>
        <v>3</v>
      </c>
      <c r="T119" s="23"/>
    </row>
    <row r="120" spans="1:20" s="11" customFormat="1" ht="12.5" x14ac:dyDescent="0.35">
      <c r="A120" s="18" t="str">
        <f>_xlfn.XLOOKUP("*"&amp;Tabela1[[#This Row],[Processo]]&amp;"*",'Árvore de Localização'!$H:$H,'Árvore de Localização'!$G:$G,"0000",2)</f>
        <v>2120.A</v>
      </c>
      <c r="B120" s="38" t="str">
        <f>_xlfn.XLOOKUP(Tabela1[[#This Row],[Processo]],'Árvore de Localização'!$D:$D,'Árvore de Localização'!$B:$B,"",0,1)</f>
        <v>DDGSeÓleo</v>
      </c>
      <c r="C120" s="42" t="str">
        <f>_xlfn.XLOOKUP(Tabela1[[#This Row],[Processo]],'Árvore de Localização'!$D:$D,'Árvore de Localização'!$C:$C,"",0,1)</f>
        <v>Fábrica de Óleo</v>
      </c>
      <c r="D120" s="39" t="s">
        <v>203</v>
      </c>
      <c r="E120" s="19" t="s">
        <v>63</v>
      </c>
      <c r="F120" s="19" t="s">
        <v>43</v>
      </c>
      <c r="G120" s="101"/>
      <c r="H120" s="101"/>
      <c r="I120" s="112"/>
      <c r="J120" s="119"/>
      <c r="K120" s="52" t="str">
        <f>IF(OR(Tabela1[[#This Row],[Replan]]="",Tabela1[[#This Row],[Previsto (LB)]]=""),"",Tabela1[[#This Row],[Previsto (LB)]]-Tabela1[[#This Row],[Replan]])</f>
        <v/>
      </c>
      <c r="L120" s="20" t="s">
        <v>828</v>
      </c>
      <c r="M120" s="21"/>
      <c r="N120" s="25"/>
      <c r="O120" s="19"/>
      <c r="P120" s="19"/>
      <c r="Q120" s="19"/>
      <c r="R120" s="105"/>
      <c r="S120" s="38">
        <f t="shared" si="10"/>
        <v>3</v>
      </c>
      <c r="T120" s="23"/>
    </row>
    <row r="121" spans="1:20" s="11" customFormat="1" ht="12.5" x14ac:dyDescent="0.35">
      <c r="A121" s="18" t="str">
        <f>_xlfn.XLOOKUP("*"&amp;Tabela1[[#This Row],[Processo]]&amp;"*",'Árvore de Localização'!$H:$H,'Árvore de Localização'!$G:$G,"0000",2)</f>
        <v>2120.A</v>
      </c>
      <c r="B121" s="38" t="str">
        <f>_xlfn.XLOOKUP(Tabela1[[#This Row],[Processo]],'Árvore de Localização'!$D:$D,'Árvore de Localização'!$B:$B,"",0,1)</f>
        <v>DDGSeÓleo</v>
      </c>
      <c r="C121" s="42" t="str">
        <f>_xlfn.XLOOKUP(Tabela1[[#This Row],[Processo]],'Árvore de Localização'!$D:$D,'Árvore de Localização'!$C:$C,"",0,1)</f>
        <v>Fábrica de Óleo</v>
      </c>
      <c r="D121" s="39" t="s">
        <v>203</v>
      </c>
      <c r="E121" s="19" t="s">
        <v>63</v>
      </c>
      <c r="F121" s="19" t="s">
        <v>43</v>
      </c>
      <c r="G121" s="101"/>
      <c r="H121" s="101"/>
      <c r="I121" s="112"/>
      <c r="J121" s="119"/>
      <c r="K121" s="52" t="str">
        <f>IF(OR(Tabela1[[#This Row],[Replan]]="",Tabela1[[#This Row],[Previsto (LB)]]=""),"",Tabela1[[#This Row],[Previsto (LB)]]-Tabela1[[#This Row],[Replan]])</f>
        <v/>
      </c>
      <c r="L121" s="20" t="s">
        <v>801</v>
      </c>
      <c r="M121" s="21"/>
      <c r="N121" s="21"/>
      <c r="O121" s="19"/>
      <c r="P121" s="19"/>
      <c r="Q121" s="19"/>
      <c r="R121" s="105"/>
      <c r="S121" s="38">
        <f t="shared" si="10"/>
        <v>3</v>
      </c>
      <c r="T121" s="23"/>
    </row>
    <row r="122" spans="1:20" s="11" customFormat="1" ht="12.5" x14ac:dyDescent="0.35">
      <c r="A122" s="18" t="str">
        <f>_xlfn.XLOOKUP("*"&amp;Tabela1[[#This Row],[Processo]]&amp;"*",'Árvore de Localização'!$H:$H,'Árvore de Localização'!$G:$G,"0000",2)</f>
        <v>2120.A</v>
      </c>
      <c r="B122" s="38" t="str">
        <f>_xlfn.XLOOKUP(Tabela1[[#This Row],[Processo]],'Árvore de Localização'!$D:$D,'Árvore de Localização'!$B:$B,"",0,1)</f>
        <v>DDGSeÓleo</v>
      </c>
      <c r="C122" s="42" t="str">
        <f>_xlfn.XLOOKUP(Tabela1[[#This Row],[Processo]],'Árvore de Localização'!$D:$D,'Árvore de Localização'!$C:$C,"",0,1)</f>
        <v>Fábrica de Óleo</v>
      </c>
      <c r="D122" s="39" t="s">
        <v>203</v>
      </c>
      <c r="E122" s="19" t="s">
        <v>63</v>
      </c>
      <c r="F122" s="19" t="s">
        <v>43</v>
      </c>
      <c r="G122" s="101"/>
      <c r="H122" s="101"/>
      <c r="I122" s="112"/>
      <c r="J122" s="119"/>
      <c r="K122" s="52" t="str">
        <f>IF(OR(Tabela1[[#This Row],[Replan]]="",Tabela1[[#This Row],[Previsto (LB)]]=""),"",Tabela1[[#This Row],[Previsto (LB)]]-Tabela1[[#This Row],[Replan]])</f>
        <v/>
      </c>
      <c r="L122" s="20" t="s">
        <v>829</v>
      </c>
      <c r="M122" s="21"/>
      <c r="N122" s="25"/>
      <c r="O122" s="19"/>
      <c r="P122" s="19"/>
      <c r="Q122" s="19"/>
      <c r="R122" s="105"/>
      <c r="S122" s="38">
        <f t="shared" si="10"/>
        <v>3</v>
      </c>
      <c r="T122" s="23"/>
    </row>
    <row r="123" spans="1:20" s="11" customFormat="1" ht="12.5" x14ac:dyDescent="0.35">
      <c r="A123" s="18" t="str">
        <f>_xlfn.XLOOKUP("*"&amp;Tabela1[[#This Row],[Processo]]&amp;"*",'Árvore de Localização'!$H:$H,'Árvore de Localização'!$G:$G,"0000",2)</f>
        <v>2120.A</v>
      </c>
      <c r="B123" s="38" t="str">
        <f>_xlfn.XLOOKUP(Tabela1[[#This Row],[Processo]],'Árvore de Localização'!$D:$D,'Árvore de Localização'!$B:$B,"",0,1)</f>
        <v>DDGSeÓleo</v>
      </c>
      <c r="C123" s="42" t="str">
        <f>_xlfn.XLOOKUP(Tabela1[[#This Row],[Processo]],'Árvore de Localização'!$D:$D,'Árvore de Localização'!$C:$C,"",0,1)</f>
        <v>Fábrica de Óleo</v>
      </c>
      <c r="D123" s="39" t="s">
        <v>203</v>
      </c>
      <c r="E123" s="19" t="s">
        <v>63</v>
      </c>
      <c r="F123" s="19" t="s">
        <v>43</v>
      </c>
      <c r="G123" s="101"/>
      <c r="H123" s="101"/>
      <c r="I123" s="112"/>
      <c r="J123" s="119"/>
      <c r="K123" s="52" t="str">
        <f>IF(OR(Tabela1[[#This Row],[Replan]]="",Tabela1[[#This Row],[Previsto (LB)]]=""),"",Tabela1[[#This Row],[Previsto (LB)]]-Tabela1[[#This Row],[Replan]])</f>
        <v/>
      </c>
      <c r="L123" s="20" t="s">
        <v>793</v>
      </c>
      <c r="M123" s="21"/>
      <c r="N123" s="21"/>
      <c r="O123" s="19"/>
      <c r="P123" s="19"/>
      <c r="Q123" s="19"/>
      <c r="R123" s="105"/>
      <c r="S123" s="38">
        <f t="shared" ref="S123:S124" si="11">IF(R123="Não iniciado",1,IF(R123="Em andamento",2,3))</f>
        <v>3</v>
      </c>
      <c r="T123" s="27"/>
    </row>
    <row r="124" spans="1:20" s="11" customFormat="1" ht="12.5" x14ac:dyDescent="0.35">
      <c r="A124" s="18" t="str">
        <f>_xlfn.XLOOKUP("*"&amp;Tabela1[[#This Row],[Processo]]&amp;"*",'Árvore de Localização'!$H:$H,'Árvore de Localização'!$G:$G,"0000",2)</f>
        <v>2120.A</v>
      </c>
      <c r="B124" s="38" t="str">
        <f>_xlfn.XLOOKUP(Tabela1[[#This Row],[Processo]],'Árvore de Localização'!$D:$D,'Árvore de Localização'!$B:$B,"",0,1)</f>
        <v>DDGSeÓleo</v>
      </c>
      <c r="C124" s="42" t="str">
        <f>_xlfn.XLOOKUP(Tabela1[[#This Row],[Processo]],'Árvore de Localização'!$D:$D,'Árvore de Localização'!$C:$C,"",0,1)</f>
        <v>Fábrica de Óleo</v>
      </c>
      <c r="D124" s="39" t="s">
        <v>203</v>
      </c>
      <c r="E124" s="19" t="s">
        <v>63</v>
      </c>
      <c r="F124" s="19" t="s">
        <v>43</v>
      </c>
      <c r="G124" s="101"/>
      <c r="H124" s="101"/>
      <c r="I124" s="112"/>
      <c r="J124" s="119"/>
      <c r="K124" s="52" t="str">
        <f>IF(OR(Tabela1[[#This Row],[Replan]]="",Tabela1[[#This Row],[Previsto (LB)]]=""),"",Tabela1[[#This Row],[Previsto (LB)]]-Tabela1[[#This Row],[Replan]])</f>
        <v/>
      </c>
      <c r="L124" s="20" t="s">
        <v>802</v>
      </c>
      <c r="M124" s="21"/>
      <c r="N124" s="21"/>
      <c r="O124" s="19"/>
      <c r="P124" s="19"/>
      <c r="Q124" s="19"/>
      <c r="R124" s="105"/>
      <c r="S124" s="38">
        <f t="shared" si="11"/>
        <v>3</v>
      </c>
      <c r="T124" s="27"/>
    </row>
    <row r="125" spans="1:20" s="11" customFormat="1" ht="12.5" x14ac:dyDescent="0.35">
      <c r="A125" s="18" t="str">
        <f>_xlfn.XLOOKUP("*"&amp;Tabela1[[#This Row],[Processo]]&amp;"*",'Árvore de Localização'!$H:$H,'Árvore de Localização'!$G:$G,"0000",2)</f>
        <v>2120.A</v>
      </c>
      <c r="B125" s="38" t="str">
        <f>_xlfn.XLOOKUP(Tabela1[[#This Row],[Processo]],'Árvore de Localização'!$D:$D,'Árvore de Localização'!$B:$B,"",0,1)</f>
        <v>DDGSeÓleo</v>
      </c>
      <c r="C125" s="42" t="str">
        <f>_xlfn.XLOOKUP(Tabela1[[#This Row],[Processo]],'Árvore de Localização'!$D:$D,'Árvore de Localização'!$C:$C,"",0,1)</f>
        <v>Fábrica de Óleo</v>
      </c>
      <c r="D125" s="39" t="s">
        <v>203</v>
      </c>
      <c r="E125" s="19" t="s">
        <v>63</v>
      </c>
      <c r="F125" s="19" t="s">
        <v>43</v>
      </c>
      <c r="G125" s="101"/>
      <c r="H125" s="101"/>
      <c r="I125" s="112"/>
      <c r="J125" s="119"/>
      <c r="K125" s="52" t="str">
        <f>IF(OR(Tabela1[[#This Row],[Replan]]="",Tabela1[[#This Row],[Previsto (LB)]]=""),"",Tabela1[[#This Row],[Previsto (LB)]]-Tabela1[[#This Row],[Replan]])</f>
        <v/>
      </c>
      <c r="L125" s="20" t="s">
        <v>794</v>
      </c>
      <c r="M125" s="21"/>
      <c r="N125" s="21"/>
      <c r="O125" s="19"/>
      <c r="P125" s="19"/>
      <c r="Q125" s="19"/>
      <c r="R125" s="105"/>
      <c r="S125" s="38">
        <f t="shared" ref="S125:S126" si="12">IF(R125="Não iniciado",1,IF(R125="Em andamento",2,3))</f>
        <v>3</v>
      </c>
      <c r="T125" s="27"/>
    </row>
    <row r="126" spans="1:20" s="11" customFormat="1" ht="12.5" x14ac:dyDescent="0.35">
      <c r="A126" s="18" t="str">
        <f>_xlfn.XLOOKUP("*"&amp;Tabela1[[#This Row],[Processo]]&amp;"*",'Árvore de Localização'!$H:$H,'Árvore de Localização'!$G:$G,"0000",2)</f>
        <v>2120.A</v>
      </c>
      <c r="B126" s="38" t="str">
        <f>_xlfn.XLOOKUP(Tabela1[[#This Row],[Processo]],'Árvore de Localização'!$D:$D,'Árvore de Localização'!$B:$B,"",0,1)</f>
        <v>DDGSeÓleo</v>
      </c>
      <c r="C126" s="42" t="str">
        <f>_xlfn.XLOOKUP(Tabela1[[#This Row],[Processo]],'Árvore de Localização'!$D:$D,'Árvore de Localização'!$C:$C,"",0,1)</f>
        <v>Fábrica de Óleo</v>
      </c>
      <c r="D126" s="39" t="s">
        <v>203</v>
      </c>
      <c r="E126" s="19" t="s">
        <v>63</v>
      </c>
      <c r="F126" s="19" t="s">
        <v>43</v>
      </c>
      <c r="G126" s="101"/>
      <c r="H126" s="101"/>
      <c r="I126" s="112"/>
      <c r="J126" s="119"/>
      <c r="K126" s="52" t="str">
        <f>IF(OR(Tabela1[[#This Row],[Replan]]="",Tabela1[[#This Row],[Previsto (LB)]]=""),"",Tabela1[[#This Row],[Previsto (LB)]]-Tabela1[[#This Row],[Replan]])</f>
        <v/>
      </c>
      <c r="L126" s="20" t="s">
        <v>810</v>
      </c>
      <c r="M126" s="21"/>
      <c r="N126" s="21"/>
      <c r="O126" s="19"/>
      <c r="P126" s="19"/>
      <c r="Q126" s="19"/>
      <c r="R126" s="105"/>
      <c r="S126" s="38">
        <f t="shared" si="12"/>
        <v>3</v>
      </c>
      <c r="T126" s="27"/>
    </row>
    <row r="127" spans="1:20" s="11" customFormat="1" ht="12.5" x14ac:dyDescent="0.35">
      <c r="A127" s="18" t="str">
        <f>_xlfn.XLOOKUP("*"&amp;Tabela1[[#This Row],[Processo]]&amp;"*",'Árvore de Localização'!$H:$H,'Árvore de Localização'!$G:$G,"0000",2)</f>
        <v>2120.A</v>
      </c>
      <c r="B127" s="38" t="str">
        <f>_xlfn.XLOOKUP(Tabela1[[#This Row],[Processo]],'Árvore de Localização'!$D:$D,'Árvore de Localização'!$B:$B,"",0,1)</f>
        <v>DDGSeÓleo</v>
      </c>
      <c r="C127" s="42" t="str">
        <f>_xlfn.XLOOKUP(Tabela1[[#This Row],[Processo]],'Árvore de Localização'!$D:$D,'Árvore de Localização'!$C:$C,"",0,1)</f>
        <v>Fábrica de Óleo</v>
      </c>
      <c r="D127" s="39" t="s">
        <v>203</v>
      </c>
      <c r="E127" s="19" t="s">
        <v>63</v>
      </c>
      <c r="F127" s="19" t="s">
        <v>43</v>
      </c>
      <c r="G127" s="101"/>
      <c r="H127" s="101"/>
      <c r="I127" s="112"/>
      <c r="J127" s="119"/>
      <c r="K127" s="52" t="str">
        <f>IF(OR(Tabela1[[#This Row],[Replan]]="",Tabela1[[#This Row],[Previsto (LB)]]=""),"",Tabela1[[#This Row],[Previsto (LB)]]-Tabela1[[#This Row],[Replan]])</f>
        <v/>
      </c>
      <c r="L127" s="20" t="s">
        <v>803</v>
      </c>
      <c r="M127" s="21"/>
      <c r="N127" s="21"/>
      <c r="O127" s="19"/>
      <c r="P127" s="19"/>
      <c r="Q127" s="19"/>
      <c r="R127" s="105"/>
      <c r="S127" s="38">
        <f>IF(R127="Não iniciado",1,IF(R127="Em andamento",2,3))</f>
        <v>3</v>
      </c>
      <c r="T127" s="27"/>
    </row>
    <row r="128" spans="1:20" s="11" customFormat="1" ht="12.5" x14ac:dyDescent="0.35">
      <c r="A128" s="18" t="str">
        <f>_xlfn.XLOOKUP("*"&amp;Tabela1[[#This Row],[Processo]]&amp;"*",'Árvore de Localização'!$H:$H,'Árvore de Localização'!$G:$G,"0000",2)</f>
        <v>2120.A</v>
      </c>
      <c r="B128" s="38" t="str">
        <f>_xlfn.XLOOKUP(Tabela1[[#This Row],[Processo]],'Árvore de Localização'!$D:$D,'Árvore de Localização'!$B:$B,"",0,1)</f>
        <v>DDGSeÓleo</v>
      </c>
      <c r="C128" s="42" t="str">
        <f>_xlfn.XLOOKUP(Tabela1[[#This Row],[Processo]],'Árvore de Localização'!$D:$D,'Árvore de Localização'!$C:$C,"",0,1)</f>
        <v>Fábrica de Óleo</v>
      </c>
      <c r="D128" s="39" t="s">
        <v>203</v>
      </c>
      <c r="E128" s="19" t="s">
        <v>63</v>
      </c>
      <c r="F128" s="19" t="s">
        <v>43</v>
      </c>
      <c r="G128" s="101"/>
      <c r="H128" s="101"/>
      <c r="I128" s="112"/>
      <c r="J128" s="119"/>
      <c r="K128" s="52" t="str">
        <f>IF(OR(Tabela1[[#This Row],[Replan]]="",Tabela1[[#This Row],[Previsto (LB)]]=""),"",Tabela1[[#This Row],[Previsto (LB)]]-Tabela1[[#This Row],[Replan]])</f>
        <v/>
      </c>
      <c r="L128" s="20" t="s">
        <v>795</v>
      </c>
      <c r="M128" s="21"/>
      <c r="N128" s="21"/>
      <c r="O128" s="19"/>
      <c r="P128" s="19"/>
      <c r="Q128" s="19"/>
      <c r="R128" s="105"/>
      <c r="S128" s="38">
        <f>IF(R128="Não iniciado",1,IF(R128="Em andamento",2,3))</f>
        <v>3</v>
      </c>
      <c r="T128" s="27"/>
    </row>
    <row r="129" spans="1:20" s="11" customFormat="1" ht="12.5" x14ac:dyDescent="0.35">
      <c r="A129" s="18" t="str">
        <f>_xlfn.XLOOKUP("*"&amp;Tabela1[[#This Row],[Processo]]&amp;"*",'Árvore de Localização'!$H:$H,'Árvore de Localização'!$G:$G,"0000",2)</f>
        <v>2106.B</v>
      </c>
      <c r="B129" s="38" t="str">
        <f>_xlfn.XLOOKUP(Tabela1[[#This Row],[Processo]],'Árvore de Localização'!$D:$D,'Árvore de Localização'!$B:$B,"",0,1)</f>
        <v>Etanol</v>
      </c>
      <c r="C129" s="42" t="str">
        <f>_xlfn.XLOOKUP(Tabela1[[#This Row],[Processo]],'Árvore de Localização'!$D:$D,'Árvore de Localização'!$C:$C,"",0,1)</f>
        <v>Fermentação</v>
      </c>
      <c r="D129" s="39" t="s">
        <v>143</v>
      </c>
      <c r="E129" s="19" t="s">
        <v>44</v>
      </c>
      <c r="F129" s="19">
        <v>1</v>
      </c>
      <c r="G129" s="101"/>
      <c r="H129" s="101"/>
      <c r="I129" s="112"/>
      <c r="J129" s="119"/>
      <c r="K129" s="52" t="str">
        <f>IF(OR(Tabela1[[#This Row],[Replan]]="",Tabela1[[#This Row],[Previsto (LB)]]=""),"",Tabela1[[#This Row],[Previsto (LB)]]-Tabela1[[#This Row],[Replan]])</f>
        <v/>
      </c>
      <c r="L129" s="20" t="s">
        <v>552</v>
      </c>
      <c r="M129" s="21"/>
      <c r="N129" s="25"/>
      <c r="O129" s="19"/>
      <c r="P129" s="19"/>
      <c r="Q129" s="19"/>
      <c r="R129" s="105"/>
      <c r="S129" s="38">
        <f t="shared" si="10"/>
        <v>3</v>
      </c>
      <c r="T129" s="24"/>
    </row>
    <row r="130" spans="1:20" s="11" customFormat="1" ht="12.5" x14ac:dyDescent="0.35">
      <c r="A130" s="18" t="str">
        <f>_xlfn.XLOOKUP("*"&amp;Tabela1[[#This Row],[Processo]]&amp;"*",'Árvore de Localização'!$H:$H,'Árvore de Localização'!$G:$G,"0000",2)</f>
        <v>2106.B</v>
      </c>
      <c r="B130" s="38" t="str">
        <f>_xlfn.XLOOKUP(Tabela1[[#This Row],[Processo]],'Árvore de Localização'!$D:$D,'Árvore de Localização'!$B:$B,"",0,1)</f>
        <v>Etanol</v>
      </c>
      <c r="C130" s="42" t="str">
        <f>_xlfn.XLOOKUP(Tabela1[[#This Row],[Processo]],'Árvore de Localização'!$D:$D,'Árvore de Localização'!$C:$C,"",0,1)</f>
        <v>Fermentação</v>
      </c>
      <c r="D130" s="39" t="s">
        <v>143</v>
      </c>
      <c r="E130" s="19" t="s">
        <v>44</v>
      </c>
      <c r="F130" s="19">
        <v>1</v>
      </c>
      <c r="G130" s="101"/>
      <c r="H130" s="101"/>
      <c r="I130" s="112"/>
      <c r="J130" s="119"/>
      <c r="K130" s="52" t="str">
        <f>IF(OR(Tabela1[[#This Row],[Replan]]="",Tabela1[[#This Row],[Previsto (LB)]]=""),"",Tabela1[[#This Row],[Previsto (LB)]]-Tabela1[[#This Row],[Replan]])</f>
        <v/>
      </c>
      <c r="L130" s="20" t="s">
        <v>588</v>
      </c>
      <c r="M130" s="21"/>
      <c r="N130" s="25"/>
      <c r="O130" s="19"/>
      <c r="P130" s="19"/>
      <c r="Q130" s="19"/>
      <c r="R130" s="105"/>
      <c r="S130" s="38">
        <f t="shared" si="10"/>
        <v>3</v>
      </c>
      <c r="T130" s="24"/>
    </row>
    <row r="131" spans="1:20" s="11" customFormat="1" ht="12.5" x14ac:dyDescent="0.35">
      <c r="A131" s="18" t="str">
        <f>_xlfn.XLOOKUP("*"&amp;Tabela1[[#This Row],[Processo]]&amp;"*",'Árvore de Localização'!$H:$H,'Árvore de Localização'!$G:$G,"0000",2)</f>
        <v>2106.B</v>
      </c>
      <c r="B131" s="38" t="str">
        <f>_xlfn.XLOOKUP(Tabela1[[#This Row],[Processo]],'Árvore de Localização'!$D:$D,'Árvore de Localização'!$B:$B,"",0,1)</f>
        <v>Etanol</v>
      </c>
      <c r="C131" s="42" t="str">
        <f>_xlfn.XLOOKUP(Tabela1[[#This Row],[Processo]],'Árvore de Localização'!$D:$D,'Árvore de Localização'!$C:$C,"",0,1)</f>
        <v>Fermentação</v>
      </c>
      <c r="D131" s="39" t="s">
        <v>143</v>
      </c>
      <c r="E131" s="19" t="s">
        <v>44</v>
      </c>
      <c r="F131" s="19">
        <v>1</v>
      </c>
      <c r="G131" s="101"/>
      <c r="H131" s="101"/>
      <c r="I131" s="112"/>
      <c r="J131" s="119"/>
      <c r="K131" s="52" t="str">
        <f>IF(OR(Tabela1[[#This Row],[Replan]]="",Tabela1[[#This Row],[Previsto (LB)]]=""),"",Tabela1[[#This Row],[Previsto (LB)]]-Tabela1[[#This Row],[Replan]])</f>
        <v/>
      </c>
      <c r="L131" s="20" t="s">
        <v>561</v>
      </c>
      <c r="M131" s="21"/>
      <c r="N131" s="21"/>
      <c r="O131" s="19"/>
      <c r="P131" s="19"/>
      <c r="Q131" s="19"/>
      <c r="R131" s="105"/>
      <c r="S131" s="38">
        <f t="shared" si="10"/>
        <v>3</v>
      </c>
      <c r="T131" s="24"/>
    </row>
    <row r="132" spans="1:20" s="11" customFormat="1" ht="12.5" x14ac:dyDescent="0.35">
      <c r="A132" s="18" t="str">
        <f>_xlfn.XLOOKUP("*"&amp;Tabela1[[#This Row],[Processo]]&amp;"*",'Árvore de Localização'!$H:$H,'Árvore de Localização'!$G:$G,"0000",2)</f>
        <v>2106.B</v>
      </c>
      <c r="B132" s="38" t="str">
        <f>_xlfn.XLOOKUP(Tabela1[[#This Row],[Processo]],'Árvore de Localização'!$D:$D,'Árvore de Localização'!$B:$B,"",0,1)</f>
        <v>Etanol</v>
      </c>
      <c r="C132" s="42" t="str">
        <f>_xlfn.XLOOKUP(Tabela1[[#This Row],[Processo]],'Árvore de Localização'!$D:$D,'Árvore de Localização'!$C:$C,"",0,1)</f>
        <v>Fermentação</v>
      </c>
      <c r="D132" s="39" t="s">
        <v>143</v>
      </c>
      <c r="E132" s="19" t="s">
        <v>44</v>
      </c>
      <c r="F132" s="19">
        <v>1</v>
      </c>
      <c r="G132" s="101"/>
      <c r="H132" s="101"/>
      <c r="I132" s="112"/>
      <c r="J132" s="119"/>
      <c r="K132" s="52" t="str">
        <f>IF(OR(Tabela1[[#This Row],[Replan]]="",Tabela1[[#This Row],[Previsto (LB)]]=""),"",Tabela1[[#This Row],[Previsto (LB)]]-Tabela1[[#This Row],[Replan]])</f>
        <v/>
      </c>
      <c r="L132" s="20" t="s">
        <v>589</v>
      </c>
      <c r="M132" s="21"/>
      <c r="N132" s="25"/>
      <c r="O132" s="19"/>
      <c r="P132" s="19"/>
      <c r="Q132" s="19"/>
      <c r="R132" s="105"/>
      <c r="S132" s="38">
        <f t="shared" si="10"/>
        <v>3</v>
      </c>
      <c r="T132" s="24"/>
    </row>
    <row r="133" spans="1:20" s="11" customFormat="1" ht="12.5" x14ac:dyDescent="0.35">
      <c r="A133" s="18" t="str">
        <f>_xlfn.XLOOKUP("*"&amp;Tabela1[[#This Row],[Processo]]&amp;"*",'Árvore de Localização'!$H:$H,'Árvore de Localização'!$G:$G,"0000",2)</f>
        <v>2106.B</v>
      </c>
      <c r="B133" s="38" t="str">
        <f>_xlfn.XLOOKUP(Tabela1[[#This Row],[Processo]],'Árvore de Localização'!$D:$D,'Árvore de Localização'!$B:$B,"",0,1)</f>
        <v>Etanol</v>
      </c>
      <c r="C133" s="42" t="str">
        <f>_xlfn.XLOOKUP(Tabela1[[#This Row],[Processo]],'Árvore de Localização'!$D:$D,'Árvore de Localização'!$C:$C,"",0,1)</f>
        <v>Fermentação</v>
      </c>
      <c r="D133" s="39" t="s">
        <v>143</v>
      </c>
      <c r="E133" s="19" t="s">
        <v>44</v>
      </c>
      <c r="F133" s="19">
        <v>1</v>
      </c>
      <c r="G133" s="101"/>
      <c r="H133" s="101"/>
      <c r="I133" s="112"/>
      <c r="J133" s="119"/>
      <c r="K133" s="52" t="str">
        <f>IF(OR(Tabela1[[#This Row],[Replan]]="",Tabela1[[#This Row],[Previsto (LB)]]=""),"",Tabela1[[#This Row],[Previsto (LB)]]-Tabela1[[#This Row],[Replan]])</f>
        <v/>
      </c>
      <c r="L133" s="20" t="s">
        <v>553</v>
      </c>
      <c r="M133" s="21"/>
      <c r="N133" s="21"/>
      <c r="O133" s="19"/>
      <c r="P133" s="19"/>
      <c r="Q133" s="19"/>
      <c r="R133" s="105"/>
      <c r="S133" s="38">
        <f t="shared" ref="S133:S134" si="13">IF(R133="Não iniciado",1,IF(R133="Em andamento",2,3))</f>
        <v>3</v>
      </c>
      <c r="T133" s="27"/>
    </row>
    <row r="134" spans="1:20" s="11" customFormat="1" ht="12.5" x14ac:dyDescent="0.35">
      <c r="A134" s="18" t="str">
        <f>_xlfn.XLOOKUP("*"&amp;Tabela1[[#This Row],[Processo]]&amp;"*",'Árvore de Localização'!$H:$H,'Árvore de Localização'!$G:$G,"0000",2)</f>
        <v>2106.B</v>
      </c>
      <c r="B134" s="38" t="str">
        <f>_xlfn.XLOOKUP(Tabela1[[#This Row],[Processo]],'Árvore de Localização'!$D:$D,'Árvore de Localização'!$B:$B,"",0,1)</f>
        <v>Etanol</v>
      </c>
      <c r="C134" s="42" t="str">
        <f>_xlfn.XLOOKUP(Tabela1[[#This Row],[Processo]],'Árvore de Localização'!$D:$D,'Árvore de Localização'!$C:$C,"",0,1)</f>
        <v>Fermentação</v>
      </c>
      <c r="D134" s="39" t="s">
        <v>143</v>
      </c>
      <c r="E134" s="19" t="s">
        <v>44</v>
      </c>
      <c r="F134" s="19">
        <v>1</v>
      </c>
      <c r="G134" s="101"/>
      <c r="H134" s="101"/>
      <c r="I134" s="112"/>
      <c r="J134" s="119"/>
      <c r="K134" s="52" t="str">
        <f>IF(OR(Tabela1[[#This Row],[Replan]]="",Tabela1[[#This Row],[Previsto (LB)]]=""),"",Tabela1[[#This Row],[Previsto (LB)]]-Tabela1[[#This Row],[Replan]])</f>
        <v/>
      </c>
      <c r="L134" s="20" t="s">
        <v>570</v>
      </c>
      <c r="M134" s="21"/>
      <c r="N134" s="21"/>
      <c r="O134" s="19"/>
      <c r="P134" s="19"/>
      <c r="Q134" s="19"/>
      <c r="R134" s="105"/>
      <c r="S134" s="38">
        <f t="shared" si="13"/>
        <v>3</v>
      </c>
      <c r="T134" s="27"/>
    </row>
    <row r="135" spans="1:20" s="11" customFormat="1" ht="12.5" x14ac:dyDescent="0.35">
      <c r="A135" s="18" t="str">
        <f>_xlfn.XLOOKUP("*"&amp;Tabela1[[#This Row],[Processo]]&amp;"*",'Árvore de Localização'!$H:$H,'Árvore de Localização'!$G:$G,"0000",2)</f>
        <v>2106.B</v>
      </c>
      <c r="B135" s="38" t="str">
        <f>_xlfn.XLOOKUP(Tabela1[[#This Row],[Processo]],'Árvore de Localização'!$D:$D,'Árvore de Localização'!$B:$B,"",0,1)</f>
        <v>Etanol</v>
      </c>
      <c r="C135" s="42" t="str">
        <f>_xlfn.XLOOKUP(Tabela1[[#This Row],[Processo]],'Árvore de Localização'!$D:$D,'Árvore de Localização'!$C:$C,"",0,1)</f>
        <v>Fermentação</v>
      </c>
      <c r="D135" s="39" t="s">
        <v>143</v>
      </c>
      <c r="E135" s="19" t="s">
        <v>44</v>
      </c>
      <c r="F135" s="19">
        <v>1</v>
      </c>
      <c r="G135" s="101"/>
      <c r="H135" s="101"/>
      <c r="I135" s="112"/>
      <c r="J135" s="119"/>
      <c r="K135" s="52" t="str">
        <f>IF(OR(Tabela1[[#This Row],[Replan]]="",Tabela1[[#This Row],[Previsto (LB)]]=""),"",Tabela1[[#This Row],[Previsto (LB)]]-Tabela1[[#This Row],[Replan]])</f>
        <v/>
      </c>
      <c r="L135" s="20" t="s">
        <v>562</v>
      </c>
      <c r="M135" s="21"/>
      <c r="N135" s="21"/>
      <c r="O135" s="19"/>
      <c r="P135" s="19"/>
      <c r="Q135" s="19"/>
      <c r="R135" s="105"/>
      <c r="S135" s="38">
        <f>IF(R135="Não iniciado",1,IF(R135="Em andamento",2,3))</f>
        <v>3</v>
      </c>
      <c r="T135" s="27"/>
    </row>
    <row r="136" spans="1:20" s="11" customFormat="1" ht="12.5" x14ac:dyDescent="0.35">
      <c r="A136" s="18" t="str">
        <f>_xlfn.XLOOKUP("*"&amp;Tabela1[[#This Row],[Processo]]&amp;"*",'Árvore de Localização'!$H:$H,'Árvore de Localização'!$G:$G,"0000",2)</f>
        <v>2106.B</v>
      </c>
      <c r="B136" s="38" t="str">
        <f>_xlfn.XLOOKUP(Tabela1[[#This Row],[Processo]],'Árvore de Localização'!$D:$D,'Árvore de Localização'!$B:$B,"",0,1)</f>
        <v>Etanol</v>
      </c>
      <c r="C136" s="42" t="str">
        <f>_xlfn.XLOOKUP(Tabela1[[#This Row],[Processo]],'Árvore de Localização'!$D:$D,'Árvore de Localização'!$C:$C,"",0,1)</f>
        <v>Fermentação</v>
      </c>
      <c r="D136" s="39" t="s">
        <v>143</v>
      </c>
      <c r="E136" s="19" t="s">
        <v>44</v>
      </c>
      <c r="F136" s="19">
        <v>1</v>
      </c>
      <c r="G136" s="101"/>
      <c r="H136" s="101"/>
      <c r="I136" s="112"/>
      <c r="J136" s="119"/>
      <c r="K136" s="52" t="str">
        <f>IF(OR(Tabela1[[#This Row],[Replan]]="",Tabela1[[#This Row],[Previsto (LB)]]=""),"",Tabela1[[#This Row],[Previsto (LB)]]-Tabela1[[#This Row],[Replan]])</f>
        <v/>
      </c>
      <c r="L136" s="20" t="s">
        <v>554</v>
      </c>
      <c r="M136" s="21"/>
      <c r="N136" s="21"/>
      <c r="O136" s="19"/>
      <c r="P136" s="19"/>
      <c r="Q136" s="19"/>
      <c r="R136" s="105"/>
      <c r="S136" s="38">
        <f>IF(R136="Não iniciado",1,IF(R136="Em andamento",2,3))</f>
        <v>3</v>
      </c>
      <c r="T136" s="27"/>
    </row>
    <row r="137" spans="1:20" s="13" customFormat="1" ht="12.5" x14ac:dyDescent="0.35">
      <c r="A137" s="18" t="str">
        <f>_xlfn.XLOOKUP("*"&amp;Tabela1[[#This Row],[Processo]]&amp;"*",'Árvore de Localização'!$H:$H,'Árvore de Localização'!$G:$G,"0000",2)</f>
        <v>2103.D</v>
      </c>
      <c r="B137" s="38" t="str">
        <f>_xlfn.XLOOKUP(Tabela1[[#This Row],[Processo]],'Árvore de Localização'!$D:$D,'Árvore de Localização'!$B:$B,"",0,1)</f>
        <v>Efluentes</v>
      </c>
      <c r="C137" s="42" t="str">
        <f>_xlfn.XLOOKUP(Tabela1[[#This Row],[Processo]],'Árvore de Localização'!$D:$D,'Árvore de Localização'!$C:$C,"",0,1)</f>
        <v>Estação de Tratamento de Efluentes (ETE)</v>
      </c>
      <c r="D137" s="39" t="s">
        <v>1</v>
      </c>
      <c r="E137" s="19" t="s">
        <v>1</v>
      </c>
      <c r="F137" s="19" t="s">
        <v>43</v>
      </c>
      <c r="G137" s="101"/>
      <c r="H137" s="101"/>
      <c r="I137" s="112"/>
      <c r="J137" s="119"/>
      <c r="K137" s="52" t="str">
        <f>IF(OR(Tabela1[[#This Row],[Replan]]="",Tabela1[[#This Row],[Previsto (LB)]]=""),"",Tabela1[[#This Row],[Previsto (LB)]]-Tabela1[[#This Row],[Replan]])</f>
        <v/>
      </c>
      <c r="L137" s="20" t="s">
        <v>1683</v>
      </c>
      <c r="M137" s="21"/>
      <c r="N137" s="21"/>
      <c r="O137" s="19"/>
      <c r="P137" s="19"/>
      <c r="Q137" s="19"/>
      <c r="R137" s="105"/>
      <c r="S137" s="38">
        <f t="shared" si="10"/>
        <v>3</v>
      </c>
      <c r="T137" s="26"/>
    </row>
    <row r="138" spans="1:20" s="13" customFormat="1" ht="12.5" x14ac:dyDescent="0.35">
      <c r="A138" s="18" t="str">
        <f>_xlfn.XLOOKUP("*"&amp;Tabela1[[#This Row],[Processo]]&amp;"*",'Árvore de Localização'!$H:$H,'Árvore de Localização'!$G:$G,"0000",2)</f>
        <v>2103.D</v>
      </c>
      <c r="B138" s="38" t="str">
        <f>_xlfn.XLOOKUP(Tabela1[[#This Row],[Processo]],'Árvore de Localização'!$D:$D,'Árvore de Localização'!$B:$B,"",0,1)</f>
        <v>Efluentes</v>
      </c>
      <c r="C138" s="42" t="str">
        <f>_xlfn.XLOOKUP(Tabela1[[#This Row],[Processo]],'Árvore de Localização'!$D:$D,'Árvore de Localização'!$C:$C,"",0,1)</f>
        <v>Estação de Tratamento de Efluentes (ETE)</v>
      </c>
      <c r="D138" s="39" t="s">
        <v>1</v>
      </c>
      <c r="E138" s="19" t="s">
        <v>1</v>
      </c>
      <c r="F138" s="19" t="s">
        <v>43</v>
      </c>
      <c r="G138" s="101"/>
      <c r="H138" s="101"/>
      <c r="I138" s="112"/>
      <c r="J138" s="119"/>
      <c r="K138" s="52" t="str">
        <f>IF(OR(Tabela1[[#This Row],[Replan]]="",Tabela1[[#This Row],[Previsto (LB)]]=""),"",Tabela1[[#This Row],[Previsto (LB)]]-Tabela1[[#This Row],[Replan]])</f>
        <v/>
      </c>
      <c r="L138" s="20" t="s">
        <v>1518</v>
      </c>
      <c r="M138" s="21"/>
      <c r="N138" s="21"/>
      <c r="O138" s="19"/>
      <c r="P138" s="19"/>
      <c r="Q138" s="19"/>
      <c r="R138" s="105"/>
      <c r="S138" s="38">
        <f t="shared" si="10"/>
        <v>3</v>
      </c>
      <c r="T138" s="26"/>
    </row>
    <row r="139" spans="1:20" s="13" customFormat="1" ht="12.5" x14ac:dyDescent="0.35">
      <c r="A139" s="18" t="str">
        <f>_xlfn.XLOOKUP("*"&amp;Tabela1[[#This Row],[Processo]]&amp;"*",'Árvore de Localização'!$H:$H,'Árvore de Localização'!$G:$G,"0000",2)</f>
        <v>2103.D</v>
      </c>
      <c r="B139" s="38" t="str">
        <f>_xlfn.XLOOKUP(Tabela1[[#This Row],[Processo]],'Árvore de Localização'!$D:$D,'Árvore de Localização'!$B:$B,"",0,1)</f>
        <v>Efluentes</v>
      </c>
      <c r="C139" s="42" t="str">
        <f>_xlfn.XLOOKUP(Tabela1[[#This Row],[Processo]],'Árvore de Localização'!$D:$D,'Árvore de Localização'!$C:$C,"",0,1)</f>
        <v>Estação de Tratamento de Efluentes (ETE)</v>
      </c>
      <c r="D139" s="39" t="s">
        <v>1</v>
      </c>
      <c r="E139" s="19" t="s">
        <v>1</v>
      </c>
      <c r="F139" s="19" t="s">
        <v>43</v>
      </c>
      <c r="G139" s="101"/>
      <c r="H139" s="101"/>
      <c r="I139" s="112"/>
      <c r="J139" s="119"/>
      <c r="K139" s="52" t="str">
        <f>IF(OR(Tabela1[[#This Row],[Replan]]="",Tabela1[[#This Row],[Previsto (LB)]]=""),"",Tabela1[[#This Row],[Previsto (LB)]]-Tabela1[[#This Row],[Replan]])</f>
        <v/>
      </c>
      <c r="L139" s="20" t="s">
        <v>1684</v>
      </c>
      <c r="M139" s="21"/>
      <c r="N139" s="21"/>
      <c r="O139" s="19"/>
      <c r="P139" s="19"/>
      <c r="Q139" s="19"/>
      <c r="R139" s="105"/>
      <c r="S139" s="38">
        <f t="shared" si="10"/>
        <v>3</v>
      </c>
      <c r="T139" s="26"/>
    </row>
    <row r="140" spans="1:20" s="13" customFormat="1" ht="12.5" x14ac:dyDescent="0.35">
      <c r="A140" s="18" t="str">
        <f>_xlfn.XLOOKUP("*"&amp;Tabela1[[#This Row],[Processo]]&amp;"*",'Árvore de Localização'!$H:$H,'Árvore de Localização'!$G:$G,"0000",2)</f>
        <v>2103.D</v>
      </c>
      <c r="B140" s="38" t="str">
        <f>_xlfn.XLOOKUP(Tabela1[[#This Row],[Processo]],'Árvore de Localização'!$D:$D,'Árvore de Localização'!$B:$B,"",0,1)</f>
        <v>Efluentes</v>
      </c>
      <c r="C140" s="42" t="str">
        <f>_xlfn.XLOOKUP(Tabela1[[#This Row],[Processo]],'Árvore de Localização'!$D:$D,'Árvore de Localização'!$C:$C,"",0,1)</f>
        <v>Estação de Tratamento de Efluentes (ETE)</v>
      </c>
      <c r="D140" s="39" t="s">
        <v>1</v>
      </c>
      <c r="E140" s="19" t="s">
        <v>1</v>
      </c>
      <c r="F140" s="19" t="s">
        <v>43</v>
      </c>
      <c r="G140" s="101"/>
      <c r="H140" s="101"/>
      <c r="I140" s="112"/>
      <c r="J140" s="119"/>
      <c r="K140" s="52" t="str">
        <f>IF(OR(Tabela1[[#This Row],[Replan]]="",Tabela1[[#This Row],[Previsto (LB)]]=""),"",Tabela1[[#This Row],[Previsto (LB)]]-Tabela1[[#This Row],[Replan]])</f>
        <v/>
      </c>
      <c r="L140" s="20" t="s">
        <v>1526</v>
      </c>
      <c r="M140" s="21"/>
      <c r="N140" s="21"/>
      <c r="O140" s="19"/>
      <c r="P140" s="19"/>
      <c r="Q140" s="19"/>
      <c r="R140" s="105"/>
      <c r="S140" s="38">
        <f t="shared" si="10"/>
        <v>3</v>
      </c>
      <c r="T140" s="26"/>
    </row>
    <row r="141" spans="1:20" s="13" customFormat="1" ht="12.5" x14ac:dyDescent="0.35">
      <c r="A141" s="18" t="str">
        <f>_xlfn.XLOOKUP("*"&amp;Tabela1[[#This Row],[Processo]]&amp;"*",'Árvore de Localização'!$H:$H,'Árvore de Localização'!$G:$G,"0000",2)</f>
        <v>2103.D</v>
      </c>
      <c r="B141" s="38" t="str">
        <f>_xlfn.XLOOKUP(Tabela1[[#This Row],[Processo]],'Árvore de Localização'!$D:$D,'Árvore de Localização'!$B:$B,"",0,1)</f>
        <v>Efluentes</v>
      </c>
      <c r="C141" s="42" t="str">
        <f>_xlfn.XLOOKUP(Tabela1[[#This Row],[Processo]],'Árvore de Localização'!$D:$D,'Árvore de Localização'!$C:$C,"",0,1)</f>
        <v>Estação de Tratamento de Efluentes (ETE)</v>
      </c>
      <c r="D141" s="39" t="s">
        <v>1</v>
      </c>
      <c r="E141" s="19" t="s">
        <v>1</v>
      </c>
      <c r="F141" s="19" t="s">
        <v>43</v>
      </c>
      <c r="G141" s="101"/>
      <c r="H141" s="101"/>
      <c r="I141" s="112"/>
      <c r="J141" s="119"/>
      <c r="K141" s="52" t="str">
        <f>IF(OR(Tabela1[[#This Row],[Replan]]="",Tabela1[[#This Row],[Previsto (LB)]]=""),"",Tabela1[[#This Row],[Previsto (LB)]]-Tabela1[[#This Row],[Replan]])</f>
        <v/>
      </c>
      <c r="L141" s="20" t="s">
        <v>1531</v>
      </c>
      <c r="M141" s="21"/>
      <c r="N141" s="21"/>
      <c r="O141" s="19"/>
      <c r="P141" s="19"/>
      <c r="Q141" s="19"/>
      <c r="R141" s="105"/>
      <c r="S141" s="38">
        <f t="shared" si="10"/>
        <v>3</v>
      </c>
      <c r="T141" s="26"/>
    </row>
    <row r="142" spans="1:20" s="11" customFormat="1" ht="12.5" x14ac:dyDescent="0.35">
      <c r="A142" s="18" t="str">
        <f>_xlfn.XLOOKUP("*"&amp;Tabela1[[#This Row],[Processo]]&amp;"*",'Árvore de Localização'!$H:$H,'Árvore de Localização'!$G:$G,"0000",2)</f>
        <v>2111.</v>
      </c>
      <c r="B142" s="38" t="str">
        <f>_xlfn.XLOOKUP(Tabela1[[#This Row],[Processo]],'Árvore de Localização'!$D:$D,'Árvore de Localização'!$B:$B,"",0,1)</f>
        <v>Etanol</v>
      </c>
      <c r="C142" s="42" t="str">
        <f>_xlfn.XLOOKUP(Tabela1[[#This Row],[Processo]],'Árvore de Localização'!$D:$D,'Árvore de Localização'!$C:$C,"",0,1)</f>
        <v>Moinho de Grãos</v>
      </c>
      <c r="D142" s="39" t="s">
        <v>104</v>
      </c>
      <c r="E142" s="19" t="s">
        <v>9</v>
      </c>
      <c r="F142" s="19" t="s">
        <v>43</v>
      </c>
      <c r="G142" s="101"/>
      <c r="H142" s="101"/>
      <c r="I142" s="112"/>
      <c r="J142" s="119"/>
      <c r="K142" s="52" t="str">
        <f>IF(OR(Tabela1[[#This Row],[Replan]]="",Tabela1[[#This Row],[Previsto (LB)]]=""),"",Tabela1[[#This Row],[Previsto (LB)]]-Tabela1[[#This Row],[Replan]])</f>
        <v/>
      </c>
      <c r="L142" s="20" t="s">
        <v>456</v>
      </c>
      <c r="M142" s="21"/>
      <c r="N142" s="25"/>
      <c r="O142" s="19"/>
      <c r="P142" s="19"/>
      <c r="Q142" s="19"/>
      <c r="R142" s="105"/>
      <c r="S142" s="38">
        <f t="shared" si="10"/>
        <v>3</v>
      </c>
      <c r="T142" s="24"/>
    </row>
    <row r="143" spans="1:20" s="11" customFormat="1" ht="12.5" x14ac:dyDescent="0.35">
      <c r="A143" s="18" t="str">
        <f>_xlfn.XLOOKUP("*"&amp;Tabela1[[#This Row],[Processo]]&amp;"*",'Árvore de Localização'!$H:$H,'Árvore de Localização'!$G:$G,"0000",2)</f>
        <v>2111.</v>
      </c>
      <c r="B143" s="38" t="str">
        <f>_xlfn.XLOOKUP(Tabela1[[#This Row],[Processo]],'Árvore de Localização'!$D:$D,'Árvore de Localização'!$B:$B,"",0,1)</f>
        <v>Etanol</v>
      </c>
      <c r="C143" s="42" t="str">
        <f>_xlfn.XLOOKUP(Tabela1[[#This Row],[Processo]],'Árvore de Localização'!$D:$D,'Árvore de Localização'!$C:$C,"",0,1)</f>
        <v>Moinho de Grãos</v>
      </c>
      <c r="D143" s="39" t="s">
        <v>104</v>
      </c>
      <c r="E143" s="19" t="s">
        <v>9</v>
      </c>
      <c r="F143" s="19" t="s">
        <v>43</v>
      </c>
      <c r="G143" s="101"/>
      <c r="H143" s="101"/>
      <c r="I143" s="112"/>
      <c r="J143" s="119"/>
      <c r="K143" s="52" t="str">
        <f>IF(OR(Tabela1[[#This Row],[Replan]]="",Tabela1[[#This Row],[Previsto (LB)]]=""),"",Tabela1[[#This Row],[Previsto (LB)]]-Tabela1[[#This Row],[Replan]])</f>
        <v/>
      </c>
      <c r="L143" s="20" t="s">
        <v>492</v>
      </c>
      <c r="M143" s="21"/>
      <c r="N143" s="25"/>
      <c r="O143" s="19"/>
      <c r="P143" s="19"/>
      <c r="Q143" s="19"/>
      <c r="R143" s="105"/>
      <c r="S143" s="38">
        <f t="shared" si="10"/>
        <v>3</v>
      </c>
      <c r="T143" s="24"/>
    </row>
    <row r="144" spans="1:20" s="11" customFormat="1" ht="12.5" x14ac:dyDescent="0.35">
      <c r="A144" s="18" t="str">
        <f>_xlfn.XLOOKUP("*"&amp;Tabela1[[#This Row],[Processo]]&amp;"*",'Árvore de Localização'!$H:$H,'Árvore de Localização'!$G:$G,"0000",2)</f>
        <v>2111.</v>
      </c>
      <c r="B144" s="38" t="str">
        <f>_xlfn.XLOOKUP(Tabela1[[#This Row],[Processo]],'Árvore de Localização'!$D:$D,'Árvore de Localização'!$B:$B,"",0,1)</f>
        <v>Etanol</v>
      </c>
      <c r="C144" s="42" t="str">
        <f>_xlfn.XLOOKUP(Tabela1[[#This Row],[Processo]],'Árvore de Localização'!$D:$D,'Árvore de Localização'!$C:$C,"",0,1)</f>
        <v>Moinho de Grãos</v>
      </c>
      <c r="D144" s="39" t="s">
        <v>104</v>
      </c>
      <c r="E144" s="19" t="s">
        <v>9</v>
      </c>
      <c r="F144" s="19" t="s">
        <v>43</v>
      </c>
      <c r="G144" s="101"/>
      <c r="H144" s="101"/>
      <c r="I144" s="112"/>
      <c r="J144" s="119"/>
      <c r="K144" s="52" t="str">
        <f>IF(OR(Tabela1[[#This Row],[Replan]]="",Tabela1[[#This Row],[Previsto (LB)]]=""),"",Tabela1[[#This Row],[Previsto (LB)]]-Tabela1[[#This Row],[Replan]])</f>
        <v/>
      </c>
      <c r="L144" s="20" t="s">
        <v>465</v>
      </c>
      <c r="M144" s="21"/>
      <c r="N144" s="21"/>
      <c r="O144" s="19"/>
      <c r="P144" s="19"/>
      <c r="Q144" s="19"/>
      <c r="R144" s="105"/>
      <c r="S144" s="38">
        <f t="shared" si="10"/>
        <v>3</v>
      </c>
      <c r="T144" s="24"/>
    </row>
    <row r="145" spans="1:20" s="11" customFormat="1" ht="12.5" x14ac:dyDescent="0.35">
      <c r="A145" s="18" t="str">
        <f>_xlfn.XLOOKUP("*"&amp;Tabela1[[#This Row],[Processo]]&amp;"*",'Árvore de Localização'!$H:$H,'Árvore de Localização'!$G:$G,"0000",2)</f>
        <v>2111.</v>
      </c>
      <c r="B145" s="38" t="str">
        <f>_xlfn.XLOOKUP(Tabela1[[#This Row],[Processo]],'Árvore de Localização'!$D:$D,'Árvore de Localização'!$B:$B,"",0,1)</f>
        <v>Etanol</v>
      </c>
      <c r="C145" s="42" t="str">
        <f>_xlfn.XLOOKUP(Tabela1[[#This Row],[Processo]],'Árvore de Localização'!$D:$D,'Árvore de Localização'!$C:$C,"",0,1)</f>
        <v>Moinho de Grãos</v>
      </c>
      <c r="D145" s="39" t="s">
        <v>104</v>
      </c>
      <c r="E145" s="19" t="s">
        <v>9</v>
      </c>
      <c r="F145" s="19" t="s">
        <v>43</v>
      </c>
      <c r="G145" s="101"/>
      <c r="H145" s="101"/>
      <c r="I145" s="112"/>
      <c r="J145" s="119"/>
      <c r="K145" s="52" t="str">
        <f>IF(OR(Tabela1[[#This Row],[Replan]]="",Tabela1[[#This Row],[Previsto (LB)]]=""),"",Tabela1[[#This Row],[Previsto (LB)]]-Tabela1[[#This Row],[Replan]])</f>
        <v/>
      </c>
      <c r="L145" s="20" t="s">
        <v>493</v>
      </c>
      <c r="M145" s="21"/>
      <c r="N145" s="25"/>
      <c r="O145" s="19"/>
      <c r="P145" s="19"/>
      <c r="Q145" s="19"/>
      <c r="R145" s="105"/>
      <c r="S145" s="38">
        <f t="shared" si="10"/>
        <v>3</v>
      </c>
      <c r="T145" s="24"/>
    </row>
    <row r="146" spans="1:20" s="11" customFormat="1" ht="12.5" x14ac:dyDescent="0.35">
      <c r="A146" s="18" t="str">
        <f>_xlfn.XLOOKUP("*"&amp;Tabela1[[#This Row],[Processo]]&amp;"*",'Árvore de Localização'!$H:$H,'Árvore de Localização'!$G:$G,"0000",2)</f>
        <v>2111.</v>
      </c>
      <c r="B146" s="38" t="str">
        <f>_xlfn.XLOOKUP(Tabela1[[#This Row],[Processo]],'Árvore de Localização'!$D:$D,'Árvore de Localização'!$B:$B,"",0,1)</f>
        <v>Etanol</v>
      </c>
      <c r="C146" s="42" t="str">
        <f>_xlfn.XLOOKUP(Tabela1[[#This Row],[Processo]],'Árvore de Localização'!$D:$D,'Árvore de Localização'!$C:$C,"",0,1)</f>
        <v>Moinho de Grãos</v>
      </c>
      <c r="D146" s="39" t="s">
        <v>104</v>
      </c>
      <c r="E146" s="19" t="s">
        <v>9</v>
      </c>
      <c r="F146" s="19" t="s">
        <v>43</v>
      </c>
      <c r="G146" s="101"/>
      <c r="H146" s="101"/>
      <c r="I146" s="112"/>
      <c r="J146" s="119"/>
      <c r="K146" s="52" t="str">
        <f>IF(OR(Tabela1[[#This Row],[Replan]]="",Tabela1[[#This Row],[Previsto (LB)]]=""),"",Tabela1[[#This Row],[Previsto (LB)]]-Tabela1[[#This Row],[Replan]])</f>
        <v/>
      </c>
      <c r="L146" s="20" t="s">
        <v>457</v>
      </c>
      <c r="M146" s="21"/>
      <c r="N146" s="21"/>
      <c r="O146" s="19"/>
      <c r="P146" s="19"/>
      <c r="Q146" s="19"/>
      <c r="R146" s="105"/>
      <c r="S146" s="38">
        <f t="shared" si="10"/>
        <v>3</v>
      </c>
      <c r="T146" s="24"/>
    </row>
    <row r="147" spans="1:20" s="11" customFormat="1" ht="12.5" x14ac:dyDescent="0.35">
      <c r="A147" s="18" t="str">
        <f>_xlfn.XLOOKUP("*"&amp;Tabela1[[#This Row],[Processo]]&amp;"*",'Árvore de Localização'!$H:$H,'Árvore de Localização'!$G:$G,"0000",2)</f>
        <v>2111.</v>
      </c>
      <c r="B147" s="38" t="str">
        <f>_xlfn.XLOOKUP(Tabela1[[#This Row],[Processo]],'Árvore de Localização'!$D:$D,'Árvore de Localização'!$B:$B,"",0,1)</f>
        <v>Etanol</v>
      </c>
      <c r="C147" s="42" t="str">
        <f>_xlfn.XLOOKUP(Tabela1[[#This Row],[Processo]],'Árvore de Localização'!$D:$D,'Árvore de Localização'!$C:$C,"",0,1)</f>
        <v>Moinho de Grãos</v>
      </c>
      <c r="D147" s="39" t="s">
        <v>104</v>
      </c>
      <c r="E147" s="19" t="s">
        <v>9</v>
      </c>
      <c r="F147" s="19" t="s">
        <v>43</v>
      </c>
      <c r="G147" s="101"/>
      <c r="H147" s="101"/>
      <c r="I147" s="112"/>
      <c r="J147" s="119"/>
      <c r="K147" s="52" t="str">
        <f>IF(OR(Tabela1[[#This Row],[Replan]]="",Tabela1[[#This Row],[Previsto (LB)]]=""),"",Tabela1[[#This Row],[Previsto (LB)]]-Tabela1[[#This Row],[Replan]])</f>
        <v/>
      </c>
      <c r="L147" s="20" t="s">
        <v>466</v>
      </c>
      <c r="M147" s="21"/>
      <c r="N147" s="21"/>
      <c r="O147" s="19"/>
      <c r="P147" s="19"/>
      <c r="Q147" s="19"/>
      <c r="R147" s="105"/>
      <c r="S147" s="38">
        <f t="shared" si="10"/>
        <v>3</v>
      </c>
      <c r="T147" s="24"/>
    </row>
    <row r="148" spans="1:20" s="11" customFormat="1" ht="12.5" x14ac:dyDescent="0.35">
      <c r="A148" s="18" t="str">
        <f>_xlfn.XLOOKUP("*"&amp;Tabela1[[#This Row],[Processo]]&amp;"*",'Árvore de Localização'!$H:$H,'Árvore de Localização'!$G:$G,"0000",2)</f>
        <v>2111.</v>
      </c>
      <c r="B148" s="38" t="str">
        <f>_xlfn.XLOOKUP(Tabela1[[#This Row],[Processo]],'Árvore de Localização'!$D:$D,'Árvore de Localização'!$B:$B,"",0,1)</f>
        <v>Etanol</v>
      </c>
      <c r="C148" s="42" t="str">
        <f>_xlfn.XLOOKUP(Tabela1[[#This Row],[Processo]],'Árvore de Localização'!$D:$D,'Árvore de Localização'!$C:$C,"",0,1)</f>
        <v>Moinho de Grãos</v>
      </c>
      <c r="D148" s="39" t="s">
        <v>104</v>
      </c>
      <c r="E148" s="19" t="s">
        <v>9</v>
      </c>
      <c r="F148" s="19" t="s">
        <v>43</v>
      </c>
      <c r="G148" s="101"/>
      <c r="H148" s="101"/>
      <c r="I148" s="112"/>
      <c r="J148" s="119"/>
      <c r="K148" s="52" t="str">
        <f>IF(OR(Tabela1[[#This Row],[Replan]]="",Tabela1[[#This Row],[Previsto (LB)]]=""),"",Tabela1[[#This Row],[Previsto (LB)]]-Tabela1[[#This Row],[Replan]])</f>
        <v/>
      </c>
      <c r="L148" s="20" t="s">
        <v>458</v>
      </c>
      <c r="M148" s="21"/>
      <c r="N148" s="21"/>
      <c r="O148" s="19"/>
      <c r="P148" s="19"/>
      <c r="Q148" s="19"/>
      <c r="R148" s="105"/>
      <c r="S148" s="38">
        <f t="shared" si="10"/>
        <v>3</v>
      </c>
      <c r="T148" s="24"/>
    </row>
    <row r="149" spans="1:20" s="11" customFormat="1" ht="12.5" x14ac:dyDescent="0.35">
      <c r="A149" s="18" t="str">
        <f>_xlfn.XLOOKUP("*"&amp;Tabela1[[#This Row],[Processo]]&amp;"*",'Árvore de Localização'!$H:$H,'Árvore de Localização'!$G:$G,"0000",2)</f>
        <v>2111.</v>
      </c>
      <c r="B149" s="38" t="str">
        <f>_xlfn.XLOOKUP(Tabela1[[#This Row],[Processo]],'Árvore de Localização'!$D:$D,'Árvore de Localização'!$B:$B,"",0,1)</f>
        <v>Etanol</v>
      </c>
      <c r="C149" s="42" t="str">
        <f>_xlfn.XLOOKUP(Tabela1[[#This Row],[Processo]],'Árvore de Localização'!$D:$D,'Árvore de Localização'!$C:$C,"",0,1)</f>
        <v>Moinho de Grãos</v>
      </c>
      <c r="D149" s="39" t="s">
        <v>104</v>
      </c>
      <c r="E149" s="19" t="s">
        <v>9</v>
      </c>
      <c r="F149" s="19" t="s">
        <v>43</v>
      </c>
      <c r="G149" s="101"/>
      <c r="H149" s="101"/>
      <c r="I149" s="112"/>
      <c r="J149" s="119"/>
      <c r="K149" s="52" t="str">
        <f>IF(OR(Tabela1[[#This Row],[Replan]]="",Tabela1[[#This Row],[Previsto (LB)]]=""),"",Tabela1[[#This Row],[Previsto (LB)]]-Tabela1[[#This Row],[Replan]])</f>
        <v/>
      </c>
      <c r="L149" s="20" t="s">
        <v>474</v>
      </c>
      <c r="M149" s="21"/>
      <c r="N149" s="21"/>
      <c r="O149" s="19"/>
      <c r="P149" s="19"/>
      <c r="Q149" s="19"/>
      <c r="R149" s="105"/>
      <c r="S149" s="38">
        <f t="shared" si="10"/>
        <v>3</v>
      </c>
      <c r="T149" s="24"/>
    </row>
    <row r="150" spans="1:20" s="11" customFormat="1" ht="12.5" x14ac:dyDescent="0.35">
      <c r="A150" s="18" t="str">
        <f>_xlfn.XLOOKUP("*"&amp;Tabela1[[#This Row],[Processo]]&amp;"*",'Árvore de Localização'!$H:$H,'Árvore de Localização'!$G:$G,"0000",2)</f>
        <v>2111.</v>
      </c>
      <c r="B150" s="38" t="str">
        <f>_xlfn.XLOOKUP(Tabela1[[#This Row],[Processo]],'Árvore de Localização'!$D:$D,'Árvore de Localização'!$B:$B,"",0,1)</f>
        <v>Etanol</v>
      </c>
      <c r="C150" s="42" t="str">
        <f>_xlfn.XLOOKUP(Tabela1[[#This Row],[Processo]],'Árvore de Localização'!$D:$D,'Árvore de Localização'!$C:$C,"",0,1)</f>
        <v>Moinho de Grãos</v>
      </c>
      <c r="D150" s="39" t="s">
        <v>104</v>
      </c>
      <c r="E150" s="19" t="s">
        <v>9</v>
      </c>
      <c r="F150" s="19" t="s">
        <v>43</v>
      </c>
      <c r="G150" s="101"/>
      <c r="H150" s="101"/>
      <c r="I150" s="112"/>
      <c r="J150" s="119"/>
      <c r="K150" s="52" t="str">
        <f>IF(OR(Tabela1[[#This Row],[Replan]]="",Tabela1[[#This Row],[Previsto (LB)]]=""),"",Tabela1[[#This Row],[Previsto (LB)]]-Tabela1[[#This Row],[Replan]])</f>
        <v/>
      </c>
      <c r="L150" s="20" t="s">
        <v>467</v>
      </c>
      <c r="M150" s="21"/>
      <c r="N150" s="21"/>
      <c r="O150" s="19"/>
      <c r="P150" s="19"/>
      <c r="Q150" s="19"/>
      <c r="R150" s="105"/>
      <c r="S150" s="38">
        <f>IF(R150="Não iniciado",1,IF(R150="Em andamento",2,3))</f>
        <v>3</v>
      </c>
      <c r="T150" s="27"/>
    </row>
    <row r="151" spans="1:20" s="11" customFormat="1" ht="12.5" x14ac:dyDescent="0.35">
      <c r="A151" s="18" t="str">
        <f>_xlfn.XLOOKUP("*"&amp;Tabela1[[#This Row],[Processo]]&amp;"*",'Árvore de Localização'!$H:$H,'Árvore de Localização'!$G:$G,"0000",2)</f>
        <v>2111.</v>
      </c>
      <c r="B151" s="38" t="str">
        <f>_xlfn.XLOOKUP(Tabela1[[#This Row],[Processo]],'Árvore de Localização'!$D:$D,'Árvore de Localização'!$B:$B,"",0,1)</f>
        <v>Etanol</v>
      </c>
      <c r="C151" s="42" t="str">
        <f>_xlfn.XLOOKUP(Tabela1[[#This Row],[Processo]],'Árvore de Localização'!$D:$D,'Árvore de Localização'!$C:$C,"",0,1)</f>
        <v>Moinho de Grãos</v>
      </c>
      <c r="D151" s="39" t="s">
        <v>104</v>
      </c>
      <c r="E151" s="19" t="s">
        <v>9</v>
      </c>
      <c r="F151" s="19" t="s">
        <v>43</v>
      </c>
      <c r="G151" s="101"/>
      <c r="H151" s="101"/>
      <c r="I151" s="112"/>
      <c r="J151" s="119"/>
      <c r="K151" s="52" t="str">
        <f>IF(OR(Tabela1[[#This Row],[Replan]]="",Tabela1[[#This Row],[Previsto (LB)]]=""),"",Tabela1[[#This Row],[Previsto (LB)]]-Tabela1[[#This Row],[Replan]])</f>
        <v/>
      </c>
      <c r="L151" s="20" t="s">
        <v>459</v>
      </c>
      <c r="M151" s="21"/>
      <c r="N151" s="21"/>
      <c r="O151" s="19"/>
      <c r="P151" s="19"/>
      <c r="Q151" s="19"/>
      <c r="R151" s="105"/>
      <c r="S151" s="38">
        <f>IF(R151="Não iniciado",1,IF(R151="Em andamento",2,3))</f>
        <v>3</v>
      </c>
      <c r="T151" s="24"/>
    </row>
    <row r="152" spans="1:20" s="11" customFormat="1" ht="12.5" x14ac:dyDescent="0.35">
      <c r="A152" s="18" t="str">
        <f>_xlfn.XLOOKUP("*"&amp;Tabela1[[#This Row],[Processo]]&amp;"*",'Árvore de Localização'!$H:$H,'Árvore de Localização'!$G:$G,"0000",2)</f>
        <v>2123.H</v>
      </c>
      <c r="B152" s="38" t="str">
        <f>_xlfn.XLOOKUP(Tabela1[[#This Row],[Processo]],'Árvore de Localização'!$D:$D,'Árvore de Localização'!$B:$B,"",0,1)</f>
        <v>Administração</v>
      </c>
      <c r="C152" s="42" t="str">
        <f>_xlfn.XLOOKUP(Tabela1[[#This Row],[Processo]],'Árvore de Localização'!$D:$D,'Árvore de Localização'!$C:$C,"",0,1)</f>
        <v>Administração</v>
      </c>
      <c r="D152" s="39" t="s">
        <v>201</v>
      </c>
      <c r="E152" s="19" t="s">
        <v>13</v>
      </c>
      <c r="F152" s="19" t="s">
        <v>43</v>
      </c>
      <c r="G152" s="101"/>
      <c r="H152" s="101"/>
      <c r="I152" s="112"/>
      <c r="J152" s="119"/>
      <c r="K152" s="52" t="str">
        <f>IF(OR(Tabela1[[#This Row],[Replan]]="",Tabela1[[#This Row],[Previsto (LB)]]=""),"",Tabela1[[#This Row],[Previsto (LB)]]-Tabela1[[#This Row],[Replan]])</f>
        <v/>
      </c>
      <c r="L152" s="20" t="s">
        <v>1322</v>
      </c>
      <c r="M152" s="21"/>
      <c r="N152" s="21"/>
      <c r="O152" s="19"/>
      <c r="P152" s="19"/>
      <c r="Q152" s="19"/>
      <c r="R152" s="105"/>
      <c r="S152" s="38">
        <f t="shared" si="10"/>
        <v>3</v>
      </c>
      <c r="T152" s="24"/>
    </row>
    <row r="153" spans="1:20" s="11" customFormat="1" ht="12.5" x14ac:dyDescent="0.35">
      <c r="A153" s="18" t="str">
        <f>_xlfn.XLOOKUP("*"&amp;Tabela1[[#This Row],[Processo]]&amp;"*",'Árvore de Localização'!$H:$H,'Árvore de Localização'!$G:$G,"0000",2)</f>
        <v>2123.H</v>
      </c>
      <c r="B153" s="38" t="str">
        <f>_xlfn.XLOOKUP(Tabela1[[#This Row],[Processo]],'Árvore de Localização'!$D:$D,'Árvore de Localização'!$B:$B,"",0,1)</f>
        <v>Administração</v>
      </c>
      <c r="C153" s="42" t="str">
        <f>_xlfn.XLOOKUP(Tabela1[[#This Row],[Processo]],'Árvore de Localização'!$D:$D,'Árvore de Localização'!$C:$C,"",0,1)</f>
        <v>Administração</v>
      </c>
      <c r="D153" s="39" t="s">
        <v>201</v>
      </c>
      <c r="E153" s="19" t="s">
        <v>13</v>
      </c>
      <c r="F153" s="19" t="s">
        <v>43</v>
      </c>
      <c r="G153" s="101"/>
      <c r="H153" s="101"/>
      <c r="I153" s="112"/>
      <c r="J153" s="119"/>
      <c r="K153" s="52" t="str">
        <f>IF(OR(Tabela1[[#This Row],[Replan]]="",Tabela1[[#This Row],[Previsto (LB)]]=""),"",Tabela1[[#This Row],[Previsto (LB)]]-Tabela1[[#This Row],[Replan]])</f>
        <v/>
      </c>
      <c r="L153" s="20" t="s">
        <v>1323</v>
      </c>
      <c r="M153" s="21"/>
      <c r="N153" s="21"/>
      <c r="O153" s="19"/>
      <c r="P153" s="19"/>
      <c r="Q153" s="19"/>
      <c r="R153" s="105"/>
      <c r="S153" s="38">
        <f t="shared" si="10"/>
        <v>3</v>
      </c>
      <c r="T153" s="24"/>
    </row>
    <row r="154" spans="1:20" s="11" customFormat="1" ht="12.5" x14ac:dyDescent="0.35">
      <c r="A154" s="18" t="str">
        <f>_xlfn.XLOOKUP("*"&amp;Tabela1[[#This Row],[Processo]]&amp;"*",'Árvore de Localização'!$H:$H,'Árvore de Localização'!$G:$G,"0000",2)</f>
        <v>2123.H</v>
      </c>
      <c r="B154" s="38" t="str">
        <f>_xlfn.XLOOKUP(Tabela1[[#This Row],[Processo]],'Árvore de Localização'!$D:$D,'Árvore de Localização'!$B:$B,"",0,1)</f>
        <v>Administração</v>
      </c>
      <c r="C154" s="42" t="str">
        <f>_xlfn.XLOOKUP(Tabela1[[#This Row],[Processo]],'Árvore de Localização'!$D:$D,'Árvore de Localização'!$C:$C,"",0,1)</f>
        <v>Administração</v>
      </c>
      <c r="D154" s="39" t="s">
        <v>201</v>
      </c>
      <c r="E154" s="19" t="s">
        <v>13</v>
      </c>
      <c r="F154" s="19" t="s">
        <v>43</v>
      </c>
      <c r="G154" s="101"/>
      <c r="H154" s="101"/>
      <c r="I154" s="112"/>
      <c r="J154" s="119"/>
      <c r="K154" s="52" t="str">
        <f>IF(OR(Tabela1[[#This Row],[Replan]]="",Tabela1[[#This Row],[Previsto (LB)]]=""),"",Tabela1[[#This Row],[Previsto (LB)]]-Tabela1[[#This Row],[Replan]])</f>
        <v/>
      </c>
      <c r="L154" s="20" t="s">
        <v>1330</v>
      </c>
      <c r="M154" s="21"/>
      <c r="N154" s="21"/>
      <c r="O154" s="19"/>
      <c r="P154" s="19"/>
      <c r="Q154" s="19"/>
      <c r="R154" s="105"/>
      <c r="S154" s="38">
        <f t="shared" si="10"/>
        <v>3</v>
      </c>
      <c r="T154" s="24"/>
    </row>
    <row r="155" spans="1:20" s="11" customFormat="1" ht="12.5" x14ac:dyDescent="0.35">
      <c r="A155" s="18" t="str">
        <f>_xlfn.XLOOKUP("*"&amp;Tabela1[[#This Row],[Processo]]&amp;"*",'Árvore de Localização'!$H:$H,'Árvore de Localização'!$G:$G,"0000",2)</f>
        <v>2123.H</v>
      </c>
      <c r="B155" s="38" t="str">
        <f>_xlfn.XLOOKUP(Tabela1[[#This Row],[Processo]],'Árvore de Localização'!$D:$D,'Árvore de Localização'!$B:$B,"",0,1)</f>
        <v>Administração</v>
      </c>
      <c r="C155" s="42" t="str">
        <f>_xlfn.XLOOKUP(Tabela1[[#This Row],[Processo]],'Árvore de Localização'!$D:$D,'Árvore de Localização'!$C:$C,"",0,1)</f>
        <v>Administração</v>
      </c>
      <c r="D155" s="39" t="s">
        <v>201</v>
      </c>
      <c r="E155" s="19" t="s">
        <v>13</v>
      </c>
      <c r="F155" s="19" t="s">
        <v>43</v>
      </c>
      <c r="G155" s="101"/>
      <c r="H155" s="101"/>
      <c r="I155" s="112"/>
      <c r="J155" s="119"/>
      <c r="K155" s="52" t="str">
        <f>IF(OR(Tabela1[[#This Row],[Replan]]="",Tabela1[[#This Row],[Previsto (LB)]]=""),"",Tabela1[[#This Row],[Previsto (LB)]]-Tabela1[[#This Row],[Replan]])</f>
        <v/>
      </c>
      <c r="L155" s="20" t="s">
        <v>1324</v>
      </c>
      <c r="M155" s="21"/>
      <c r="N155" s="21"/>
      <c r="O155" s="19"/>
      <c r="P155" s="19"/>
      <c r="Q155" s="19"/>
      <c r="R155" s="105"/>
      <c r="S155" s="38">
        <f t="shared" si="10"/>
        <v>3</v>
      </c>
      <c r="T155" s="24"/>
    </row>
    <row r="156" spans="1:20" s="11" customFormat="1" ht="12.5" x14ac:dyDescent="0.35">
      <c r="A156" s="18" t="str">
        <f>_xlfn.XLOOKUP("*"&amp;Tabela1[[#This Row],[Processo]]&amp;"*",'Árvore de Localização'!$H:$H,'Árvore de Localização'!$G:$G,"0000",2)</f>
        <v>2123.H</v>
      </c>
      <c r="B156" s="38" t="str">
        <f>_xlfn.XLOOKUP(Tabela1[[#This Row],[Processo]],'Árvore de Localização'!$D:$D,'Árvore de Localização'!$B:$B,"",0,1)</f>
        <v>Administração</v>
      </c>
      <c r="C156" s="42" t="str">
        <f>_xlfn.XLOOKUP(Tabela1[[#This Row],[Processo]],'Árvore de Localização'!$D:$D,'Árvore de Localização'!$C:$C,"",0,1)</f>
        <v>Administração</v>
      </c>
      <c r="D156" s="39" t="s">
        <v>201</v>
      </c>
      <c r="E156" s="19" t="s">
        <v>13</v>
      </c>
      <c r="F156" s="19" t="s">
        <v>43</v>
      </c>
      <c r="G156" s="101"/>
      <c r="H156" s="101"/>
      <c r="I156" s="112"/>
      <c r="J156" s="119"/>
      <c r="K156" s="52" t="str">
        <f>IF(OR(Tabela1[[#This Row],[Replan]]="",Tabela1[[#This Row],[Previsto (LB)]]=""),"",Tabela1[[#This Row],[Previsto (LB)]]-Tabela1[[#This Row],[Replan]])</f>
        <v/>
      </c>
      <c r="L156" s="20" t="s">
        <v>1325</v>
      </c>
      <c r="M156" s="21"/>
      <c r="N156" s="21"/>
      <c r="O156" s="19"/>
      <c r="P156" s="19"/>
      <c r="Q156" s="19"/>
      <c r="R156" s="105"/>
      <c r="S156" s="38">
        <f t="shared" ref="S156:S157" si="14">IF(R156="Não iniciado",1,IF(R156="Em andamento",2,3))</f>
        <v>3</v>
      </c>
      <c r="T156" s="24"/>
    </row>
    <row r="157" spans="1:20" s="11" customFormat="1" ht="12.5" x14ac:dyDescent="0.35">
      <c r="A157" s="18" t="str">
        <f>_xlfn.XLOOKUP("*"&amp;Tabela1[[#This Row],[Processo]]&amp;"*",'Árvore de Localização'!$H:$H,'Árvore de Localização'!$G:$G,"0000",2)</f>
        <v>2123.H</v>
      </c>
      <c r="B157" s="38" t="str">
        <f>_xlfn.XLOOKUP(Tabela1[[#This Row],[Processo]],'Árvore de Localização'!$D:$D,'Árvore de Localização'!$B:$B,"",0,1)</f>
        <v>Administração</v>
      </c>
      <c r="C157" s="42" t="str">
        <f>_xlfn.XLOOKUP(Tabela1[[#This Row],[Processo]],'Árvore de Localização'!$D:$D,'Árvore de Localização'!$C:$C,"",0,1)</f>
        <v>Administração</v>
      </c>
      <c r="D157" s="39" t="s">
        <v>201</v>
      </c>
      <c r="E157" s="19" t="s">
        <v>13</v>
      </c>
      <c r="F157" s="19" t="s">
        <v>43</v>
      </c>
      <c r="G157" s="101"/>
      <c r="H157" s="101"/>
      <c r="I157" s="112"/>
      <c r="J157" s="119"/>
      <c r="K157" s="52" t="str">
        <f>IF(OR(Tabela1[[#This Row],[Replan]]="",Tabela1[[#This Row],[Previsto (LB)]]=""),"",Tabela1[[#This Row],[Previsto (LB)]]-Tabela1[[#This Row],[Replan]])</f>
        <v/>
      </c>
      <c r="L157" s="20" t="s">
        <v>1326</v>
      </c>
      <c r="M157" s="21"/>
      <c r="N157" s="21"/>
      <c r="O157" s="19"/>
      <c r="P157" s="19"/>
      <c r="Q157" s="19"/>
      <c r="R157" s="105"/>
      <c r="S157" s="38">
        <f t="shared" si="14"/>
        <v>3</v>
      </c>
      <c r="T157" s="24"/>
    </row>
    <row r="158" spans="1:20" s="11" customFormat="1" ht="12.5" x14ac:dyDescent="0.35">
      <c r="A158" s="18" t="str">
        <f>_xlfn.XLOOKUP("*"&amp;Tabela1[[#This Row],[Processo]]&amp;"*",'Árvore de Localização'!$H:$H,'Árvore de Localização'!$G:$G,"0000",2)</f>
        <v>2123.H</v>
      </c>
      <c r="B158" s="38" t="str">
        <f>_xlfn.XLOOKUP(Tabela1[[#This Row],[Processo]],'Árvore de Localização'!$D:$D,'Árvore de Localização'!$B:$B,"",0,1)</f>
        <v>Administração</v>
      </c>
      <c r="C158" s="42" t="str">
        <f>_xlfn.XLOOKUP(Tabela1[[#This Row],[Processo]],'Árvore de Localização'!$D:$D,'Árvore de Localização'!$C:$C,"",0,1)</f>
        <v>Administração</v>
      </c>
      <c r="D158" s="39" t="s">
        <v>201</v>
      </c>
      <c r="E158" s="19" t="s">
        <v>13</v>
      </c>
      <c r="F158" s="19" t="s">
        <v>43</v>
      </c>
      <c r="G158" s="101"/>
      <c r="H158" s="101"/>
      <c r="I158" s="112"/>
      <c r="J158" s="119"/>
      <c r="K158" s="52" t="str">
        <f>IF(OR(Tabela1[[#This Row],[Replan]]="",Tabela1[[#This Row],[Previsto (LB)]]=""),"",Tabela1[[#This Row],[Previsto (LB)]]-Tabela1[[#This Row],[Replan]])</f>
        <v/>
      </c>
      <c r="L158" s="20" t="s">
        <v>1338</v>
      </c>
      <c r="M158" s="21"/>
      <c r="N158" s="21"/>
      <c r="O158" s="19"/>
      <c r="P158" s="19"/>
      <c r="Q158" s="19"/>
      <c r="R158" s="105"/>
      <c r="S158" s="38">
        <f>IF(R158="Não iniciado",1,IF(R158="Em andamento",2,3))</f>
        <v>3</v>
      </c>
      <c r="T158" s="24"/>
    </row>
    <row r="159" spans="1:20" s="11" customFormat="1" ht="12.5" x14ac:dyDescent="0.35">
      <c r="A159" s="18" t="str">
        <f>_xlfn.XLOOKUP("*"&amp;Tabela1[[#This Row],[Processo]]&amp;"*",'Árvore de Localização'!$H:$H,'Árvore de Localização'!$G:$G,"0000",2)</f>
        <v>2131.A</v>
      </c>
      <c r="B159" s="38" t="str">
        <f>_xlfn.XLOOKUP(Tabela1[[#This Row],[Processo]],'Árvore de Localização'!$D:$D,'Árvore de Localização'!$B:$B,"",0,1)</f>
        <v>Utilidades</v>
      </c>
      <c r="C159" s="42" t="str">
        <f>_xlfn.XLOOKUP(Tabela1[[#This Row],[Processo]],'Árvore de Localização'!$D:$D,'Árvore de Localização'!$C:$C,"",0,1)</f>
        <v>Biomassa</v>
      </c>
      <c r="D159" s="39" t="s">
        <v>216</v>
      </c>
      <c r="E159" s="19" t="s">
        <v>45</v>
      </c>
      <c r="F159" s="19" t="s">
        <v>43</v>
      </c>
      <c r="G159" s="101"/>
      <c r="H159" s="101"/>
      <c r="I159" s="112"/>
      <c r="J159" s="119"/>
      <c r="K159" s="52" t="str">
        <f>IF(OR(Tabela1[[#This Row],[Replan]]="",Tabela1[[#This Row],[Previsto (LB)]]=""),"",Tabela1[[#This Row],[Previsto (LB)]]-Tabela1[[#This Row],[Replan]])</f>
        <v/>
      </c>
      <c r="L159" s="20" t="s">
        <v>840</v>
      </c>
      <c r="M159" s="21"/>
      <c r="N159" s="21"/>
      <c r="O159" s="19"/>
      <c r="P159" s="19"/>
      <c r="Q159" s="19"/>
      <c r="R159" s="105"/>
      <c r="S159" s="38">
        <f t="shared" si="10"/>
        <v>3</v>
      </c>
      <c r="T159" s="24"/>
    </row>
    <row r="160" spans="1:20" s="11" customFormat="1" ht="12.5" x14ac:dyDescent="0.35">
      <c r="A160" s="18" t="str">
        <f>_xlfn.XLOOKUP("*"&amp;Tabela1[[#This Row],[Processo]]&amp;"*",'Árvore de Localização'!$H:$H,'Árvore de Localização'!$G:$G,"0000",2)</f>
        <v>2131.A</v>
      </c>
      <c r="B160" s="38" t="str">
        <f>_xlfn.XLOOKUP(Tabela1[[#This Row],[Processo]],'Árvore de Localização'!$D:$D,'Árvore de Localização'!$B:$B,"",0,1)</f>
        <v>Utilidades</v>
      </c>
      <c r="C160" s="42" t="str">
        <f>_xlfn.XLOOKUP(Tabela1[[#This Row],[Processo]],'Árvore de Localização'!$D:$D,'Árvore de Localização'!$C:$C,"",0,1)</f>
        <v>Biomassa</v>
      </c>
      <c r="D160" s="39" t="s">
        <v>216</v>
      </c>
      <c r="E160" s="19" t="s">
        <v>45</v>
      </c>
      <c r="F160" s="19" t="s">
        <v>43</v>
      </c>
      <c r="G160" s="101"/>
      <c r="H160" s="101"/>
      <c r="I160" s="112"/>
      <c r="J160" s="119"/>
      <c r="K160" s="52" t="str">
        <f>IF(OR(Tabela1[[#This Row],[Replan]]="",Tabela1[[#This Row],[Previsto (LB)]]=""),"",Tabela1[[#This Row],[Previsto (LB)]]-Tabela1[[#This Row],[Replan]])</f>
        <v/>
      </c>
      <c r="L160" s="20" t="s">
        <v>841</v>
      </c>
      <c r="M160" s="21"/>
      <c r="N160" s="21"/>
      <c r="O160" s="19"/>
      <c r="P160" s="19"/>
      <c r="Q160" s="19"/>
      <c r="R160" s="105"/>
      <c r="S160" s="38">
        <f t="shared" si="10"/>
        <v>3</v>
      </c>
      <c r="T160" s="24"/>
    </row>
    <row r="161" spans="1:20" s="11" customFormat="1" ht="12.5" x14ac:dyDescent="0.35">
      <c r="A161" s="18" t="str">
        <f>_xlfn.XLOOKUP("*"&amp;Tabela1[[#This Row],[Processo]]&amp;"*",'Árvore de Localização'!$H:$H,'Árvore de Localização'!$G:$G,"0000",2)</f>
        <v>2131.A</v>
      </c>
      <c r="B161" s="38" t="str">
        <f>_xlfn.XLOOKUP(Tabela1[[#This Row],[Processo]],'Árvore de Localização'!$D:$D,'Árvore de Localização'!$B:$B,"",0,1)</f>
        <v>Utilidades</v>
      </c>
      <c r="C161" s="42" t="str">
        <f>_xlfn.XLOOKUP(Tabela1[[#This Row],[Processo]],'Árvore de Localização'!$D:$D,'Árvore de Localização'!$C:$C,"",0,1)</f>
        <v>Biomassa</v>
      </c>
      <c r="D161" s="39" t="s">
        <v>216</v>
      </c>
      <c r="E161" s="19" t="s">
        <v>45</v>
      </c>
      <c r="F161" s="19" t="s">
        <v>43</v>
      </c>
      <c r="G161" s="101"/>
      <c r="H161" s="101"/>
      <c r="I161" s="112"/>
      <c r="J161" s="119"/>
      <c r="K161" s="52" t="str">
        <f>IF(OR(Tabela1[[#This Row],[Replan]]="",Tabela1[[#This Row],[Previsto (LB)]]=""),"",Tabela1[[#This Row],[Previsto (LB)]]-Tabela1[[#This Row],[Replan]])</f>
        <v/>
      </c>
      <c r="L161" s="20" t="s">
        <v>849</v>
      </c>
      <c r="M161" s="21"/>
      <c r="N161" s="21"/>
      <c r="O161" s="19"/>
      <c r="P161" s="19"/>
      <c r="Q161" s="19"/>
      <c r="R161" s="105"/>
      <c r="S161" s="38">
        <f t="shared" si="10"/>
        <v>3</v>
      </c>
      <c r="T161" s="24"/>
    </row>
    <row r="162" spans="1:20" s="11" customFormat="1" ht="12.5" x14ac:dyDescent="0.35">
      <c r="A162" s="18" t="str">
        <f>_xlfn.XLOOKUP("*"&amp;Tabela1[[#This Row],[Processo]]&amp;"*",'Árvore de Localização'!$H:$H,'Árvore de Localização'!$G:$G,"0000",2)</f>
        <v>2101.D</v>
      </c>
      <c r="B162" s="38" t="str">
        <f>_xlfn.XLOOKUP(Tabela1[[#This Row],[Processo]],'Árvore de Localização'!$D:$D,'Árvore de Localização'!$B:$B,"",0,1)</f>
        <v>Utilidades</v>
      </c>
      <c r="C162" s="42" t="str">
        <f>_xlfn.XLOOKUP(Tabela1[[#This Row],[Processo]],'Árvore de Localização'!$D:$D,'Árvore de Localização'!$C:$C,"",0,1)</f>
        <v>Geração de Vapor</v>
      </c>
      <c r="D162" s="39" t="s">
        <v>225</v>
      </c>
      <c r="E162" s="19" t="s">
        <v>0</v>
      </c>
      <c r="F162" s="19" t="s">
        <v>43</v>
      </c>
      <c r="G162" s="101"/>
      <c r="H162" s="101"/>
      <c r="I162" s="112"/>
      <c r="J162" s="119"/>
      <c r="K162" s="52" t="str">
        <f>IF(OR(Tabela1[[#This Row],[Replan]]="",Tabela1[[#This Row],[Previsto (LB)]]=""),"",Tabela1[[#This Row],[Previsto (LB)]]-Tabela1[[#This Row],[Replan]])</f>
        <v/>
      </c>
      <c r="L162" s="20" t="s">
        <v>892</v>
      </c>
      <c r="M162" s="21"/>
      <c r="N162" s="21"/>
      <c r="O162" s="19"/>
      <c r="P162" s="19"/>
      <c r="Q162" s="19"/>
      <c r="R162" s="105"/>
      <c r="S162" s="38">
        <f t="shared" si="10"/>
        <v>3</v>
      </c>
      <c r="T162" s="24"/>
    </row>
    <row r="163" spans="1:20" s="11" customFormat="1" ht="12.5" x14ac:dyDescent="0.35">
      <c r="A163" s="18" t="str">
        <f>_xlfn.XLOOKUP("*"&amp;Tabela1[[#This Row],[Processo]]&amp;"*",'Árvore de Localização'!$H:$H,'Árvore de Localização'!$G:$G,"0000",2)</f>
        <v>2101.D</v>
      </c>
      <c r="B163" s="38" t="str">
        <f>_xlfn.XLOOKUP(Tabela1[[#This Row],[Processo]],'Árvore de Localização'!$D:$D,'Árvore de Localização'!$B:$B,"",0,1)</f>
        <v>Utilidades</v>
      </c>
      <c r="C163" s="42" t="str">
        <f>_xlfn.XLOOKUP(Tabela1[[#This Row],[Processo]],'Árvore de Localização'!$D:$D,'Árvore de Localização'!$C:$C,"",0,1)</f>
        <v>Geração de Vapor</v>
      </c>
      <c r="D163" s="39" t="s">
        <v>225</v>
      </c>
      <c r="E163" s="19" t="s">
        <v>0</v>
      </c>
      <c r="F163" s="19" t="s">
        <v>43</v>
      </c>
      <c r="G163" s="101"/>
      <c r="H163" s="101"/>
      <c r="I163" s="112"/>
      <c r="J163" s="119"/>
      <c r="K163" s="52" t="str">
        <f>IF(OR(Tabela1[[#This Row],[Replan]]="",Tabela1[[#This Row],[Previsto (LB)]]=""),"",Tabela1[[#This Row],[Previsto (LB)]]-Tabela1[[#This Row],[Replan]])</f>
        <v/>
      </c>
      <c r="L163" s="20" t="s">
        <v>893</v>
      </c>
      <c r="M163" s="21"/>
      <c r="N163" s="21"/>
      <c r="O163" s="19"/>
      <c r="P163" s="19"/>
      <c r="Q163" s="19"/>
      <c r="R163" s="105"/>
      <c r="S163" s="38">
        <f t="shared" si="10"/>
        <v>3</v>
      </c>
      <c r="T163" s="24"/>
    </row>
    <row r="164" spans="1:20" s="11" customFormat="1" ht="12.5" x14ac:dyDescent="0.35">
      <c r="A164" s="18" t="str">
        <f>_xlfn.XLOOKUP("*"&amp;Tabela1[[#This Row],[Processo]]&amp;"*",'Árvore de Localização'!$H:$H,'Árvore de Localização'!$G:$G,"0000",2)</f>
        <v>2101.D</v>
      </c>
      <c r="B164" s="38" t="str">
        <f>_xlfn.XLOOKUP(Tabela1[[#This Row],[Processo]],'Árvore de Localização'!$D:$D,'Árvore de Localização'!$B:$B,"",0,1)</f>
        <v>Utilidades</v>
      </c>
      <c r="C164" s="42" t="str">
        <f>_xlfn.XLOOKUP(Tabela1[[#This Row],[Processo]],'Árvore de Localização'!$D:$D,'Árvore de Localização'!$C:$C,"",0,1)</f>
        <v>Geração de Vapor</v>
      </c>
      <c r="D164" s="39" t="s">
        <v>225</v>
      </c>
      <c r="E164" s="19" t="s">
        <v>0</v>
      </c>
      <c r="F164" s="19" t="s">
        <v>43</v>
      </c>
      <c r="G164" s="101"/>
      <c r="H164" s="101"/>
      <c r="I164" s="112"/>
      <c r="J164" s="119"/>
      <c r="K164" s="52" t="str">
        <f>IF(OR(Tabela1[[#This Row],[Replan]]="",Tabela1[[#This Row],[Previsto (LB)]]=""),"",Tabela1[[#This Row],[Previsto (LB)]]-Tabela1[[#This Row],[Replan]])</f>
        <v/>
      </c>
      <c r="L164" s="20" t="s">
        <v>894</v>
      </c>
      <c r="M164" s="21"/>
      <c r="N164" s="21"/>
      <c r="O164" s="19"/>
      <c r="P164" s="19"/>
      <c r="Q164" s="19"/>
      <c r="R164" s="105"/>
      <c r="S164" s="38">
        <f t="shared" si="10"/>
        <v>3</v>
      </c>
      <c r="T164" s="24"/>
    </row>
    <row r="165" spans="1:20" s="11" customFormat="1" ht="12.5" x14ac:dyDescent="0.35">
      <c r="A165" s="18" t="str">
        <f>_xlfn.XLOOKUP("*"&amp;Tabela1[[#This Row],[Processo]]&amp;"*",'Árvore de Localização'!$H:$H,'Árvore de Localização'!$G:$G,"0000",2)</f>
        <v>2100.D</v>
      </c>
      <c r="B165" s="38" t="str">
        <f>_xlfn.XLOOKUP(Tabela1[[#This Row],[Processo]],'Árvore de Localização'!$D:$D,'Árvore de Localização'!$B:$B,"",0,1)</f>
        <v>Geral</v>
      </c>
      <c r="C165" s="42" t="str">
        <f>_xlfn.XLOOKUP(Tabela1[[#This Row],[Processo]],'Árvore de Localização'!$D:$D,'Árvore de Localização'!$C:$C,"",0,1)</f>
        <v>Geral</v>
      </c>
      <c r="D165" s="39" t="s">
        <v>5</v>
      </c>
      <c r="E165" s="19" t="s">
        <v>5</v>
      </c>
      <c r="F165" s="19" t="s">
        <v>43</v>
      </c>
      <c r="G165" s="101"/>
      <c r="H165" s="101"/>
      <c r="I165" s="112"/>
      <c r="J165" s="119"/>
      <c r="K165" s="52" t="str">
        <f>IF(OR(Tabela1[[#This Row],[Replan]]="",Tabela1[[#This Row],[Previsto (LB)]]=""),"",Tabela1[[#This Row],[Previsto (LB)]]-Tabela1[[#This Row],[Replan]])</f>
        <v/>
      </c>
      <c r="L165" s="20" t="s">
        <v>400</v>
      </c>
      <c r="M165" s="21"/>
      <c r="N165" s="21"/>
      <c r="O165" s="19"/>
      <c r="P165" s="19"/>
      <c r="Q165" s="19"/>
      <c r="R165" s="105"/>
      <c r="S165" s="38">
        <f t="shared" si="10"/>
        <v>3</v>
      </c>
      <c r="T165" s="24"/>
    </row>
    <row r="166" spans="1:20" s="11" customFormat="1" ht="12.5" x14ac:dyDescent="0.35">
      <c r="A166" s="18" t="str">
        <f>_xlfn.XLOOKUP("*"&amp;Tabela1[[#This Row],[Processo]]&amp;"*",'Árvore de Localização'!$H:$H,'Árvore de Localização'!$G:$G,"0000",2)</f>
        <v>2110.A</v>
      </c>
      <c r="B166" s="38" t="str">
        <f>_xlfn.XLOOKUP(Tabela1[[#This Row],[Processo]],'Árvore de Localização'!$D:$D,'Árvore de Localização'!$B:$B,"",0,1)</f>
        <v>Utilidades</v>
      </c>
      <c r="C166" s="42" t="str">
        <f>_xlfn.XLOOKUP(Tabela1[[#This Row],[Processo]],'Árvore de Localização'!$D:$D,'Árvore de Localização'!$C:$C,"",0,1)</f>
        <v>Estação de Tratamento de Água (ETA)</v>
      </c>
      <c r="D166" s="39" t="s">
        <v>235</v>
      </c>
      <c r="E166" s="19" t="s">
        <v>52</v>
      </c>
      <c r="F166" s="19" t="s">
        <v>43</v>
      </c>
      <c r="G166" s="101"/>
      <c r="H166" s="101"/>
      <c r="I166" s="112"/>
      <c r="J166" s="119"/>
      <c r="K166" s="52" t="str">
        <f>IF(OR(Tabela1[[#This Row],[Replan]]="",Tabela1[[#This Row],[Previsto (LB)]]=""),"",Tabela1[[#This Row],[Previsto (LB)]]-Tabela1[[#This Row],[Replan]])</f>
        <v/>
      </c>
      <c r="L166" s="20" t="s">
        <v>1068</v>
      </c>
      <c r="M166" s="21"/>
      <c r="N166" s="21"/>
      <c r="O166" s="19"/>
      <c r="P166" s="19"/>
      <c r="Q166" s="19"/>
      <c r="R166" s="105"/>
      <c r="S166" s="38">
        <f t="shared" si="10"/>
        <v>3</v>
      </c>
      <c r="T166" s="24"/>
    </row>
    <row r="167" spans="1:20" s="11" customFormat="1" ht="12.5" x14ac:dyDescent="0.35">
      <c r="A167" s="18" t="str">
        <f>_xlfn.XLOOKUP("*"&amp;Tabela1[[#This Row],[Processo]]&amp;"*",'Árvore de Localização'!$H:$H,'Árvore de Localização'!$G:$G,"0000",2)</f>
        <v>2110.A</v>
      </c>
      <c r="B167" s="38" t="str">
        <f>_xlfn.XLOOKUP(Tabela1[[#This Row],[Processo]],'Árvore de Localização'!$D:$D,'Árvore de Localização'!$B:$B,"",0,1)</f>
        <v>Utilidades</v>
      </c>
      <c r="C167" s="42" t="str">
        <f>_xlfn.XLOOKUP(Tabela1[[#This Row],[Processo]],'Árvore de Localização'!$D:$D,'Árvore de Localização'!$C:$C,"",0,1)</f>
        <v>Estação de Tratamento de Água (ETA)</v>
      </c>
      <c r="D167" s="39" t="s">
        <v>235</v>
      </c>
      <c r="E167" s="19" t="s">
        <v>52</v>
      </c>
      <c r="F167" s="19" t="s">
        <v>43</v>
      </c>
      <c r="G167" s="101"/>
      <c r="H167" s="101"/>
      <c r="I167" s="112"/>
      <c r="J167" s="119"/>
      <c r="K167" s="52" t="str">
        <f>IF(OR(Tabela1[[#This Row],[Replan]]="",Tabela1[[#This Row],[Previsto (LB)]]=""),"",Tabela1[[#This Row],[Previsto (LB)]]-Tabela1[[#This Row],[Replan]])</f>
        <v/>
      </c>
      <c r="L167" s="20" t="s">
        <v>1069</v>
      </c>
      <c r="M167" s="21"/>
      <c r="N167" s="21"/>
      <c r="O167" s="19"/>
      <c r="P167" s="19"/>
      <c r="Q167" s="19"/>
      <c r="R167" s="105"/>
      <c r="S167" s="38">
        <f t="shared" si="10"/>
        <v>3</v>
      </c>
      <c r="T167" s="24"/>
    </row>
    <row r="168" spans="1:20" s="11" customFormat="1" ht="12.5" x14ac:dyDescent="0.35">
      <c r="A168" s="18" t="str">
        <f>_xlfn.XLOOKUP("*"&amp;Tabela1[[#This Row],[Processo]]&amp;"*",'Árvore de Localização'!$H:$H,'Árvore de Localização'!$G:$G,"0000",2)</f>
        <v>2110.A</v>
      </c>
      <c r="B168" s="38" t="str">
        <f>_xlfn.XLOOKUP(Tabela1[[#This Row],[Processo]],'Árvore de Localização'!$D:$D,'Árvore de Localização'!$B:$B,"",0,1)</f>
        <v>Utilidades</v>
      </c>
      <c r="C168" s="42" t="str">
        <f>_xlfn.XLOOKUP(Tabela1[[#This Row],[Processo]],'Árvore de Localização'!$D:$D,'Árvore de Localização'!$C:$C,"",0,1)</f>
        <v>Estação de Tratamento de Água (ETA)</v>
      </c>
      <c r="D168" s="39" t="s">
        <v>235</v>
      </c>
      <c r="E168" s="19" t="s">
        <v>52</v>
      </c>
      <c r="F168" s="19" t="s">
        <v>43</v>
      </c>
      <c r="G168" s="101"/>
      <c r="H168" s="101"/>
      <c r="I168" s="112"/>
      <c r="J168" s="119"/>
      <c r="K168" s="52" t="str">
        <f>IF(OR(Tabela1[[#This Row],[Replan]]="",Tabela1[[#This Row],[Previsto (LB)]]=""),"",Tabela1[[#This Row],[Previsto (LB)]]-Tabela1[[#This Row],[Replan]])</f>
        <v/>
      </c>
      <c r="L168" s="20" t="s">
        <v>1039</v>
      </c>
      <c r="M168" s="21"/>
      <c r="N168" s="25"/>
      <c r="O168" s="19"/>
      <c r="P168" s="19"/>
      <c r="Q168" s="19"/>
      <c r="R168" s="105"/>
      <c r="S168" s="38">
        <f t="shared" si="10"/>
        <v>3</v>
      </c>
      <c r="T168" s="24"/>
    </row>
    <row r="169" spans="1:20" s="11" customFormat="1" ht="12.5" x14ac:dyDescent="0.35">
      <c r="A169" s="18" t="str">
        <f>_xlfn.XLOOKUP("*"&amp;Tabela1[[#This Row],[Processo]]&amp;"*",'Árvore de Localização'!$H:$H,'Árvore de Localização'!$G:$G,"0000",2)</f>
        <v>2110.A</v>
      </c>
      <c r="B169" s="38" t="str">
        <f>_xlfn.XLOOKUP(Tabela1[[#This Row],[Processo]],'Árvore de Localização'!$D:$D,'Árvore de Localização'!$B:$B,"",0,1)</f>
        <v>Utilidades</v>
      </c>
      <c r="C169" s="42" t="str">
        <f>_xlfn.XLOOKUP(Tabela1[[#This Row],[Processo]],'Árvore de Localização'!$D:$D,'Árvore de Localização'!$C:$C,"",0,1)</f>
        <v>Estação de Tratamento de Água (ETA)</v>
      </c>
      <c r="D169" s="39" t="s">
        <v>235</v>
      </c>
      <c r="E169" s="19" t="s">
        <v>52</v>
      </c>
      <c r="F169" s="19" t="s">
        <v>43</v>
      </c>
      <c r="G169" s="101"/>
      <c r="H169" s="101"/>
      <c r="I169" s="112"/>
      <c r="J169" s="119"/>
      <c r="K169" s="52" t="str">
        <f>IF(OR(Tabela1[[#This Row],[Replan]]="",Tabela1[[#This Row],[Previsto (LB)]]=""),"",Tabela1[[#This Row],[Previsto (LB)]]-Tabela1[[#This Row],[Replan]])</f>
        <v/>
      </c>
      <c r="L169" s="20" t="s">
        <v>1640</v>
      </c>
      <c r="M169" s="21"/>
      <c r="N169" s="21"/>
      <c r="O169" s="19"/>
      <c r="P169" s="19"/>
      <c r="Q169" s="19"/>
      <c r="R169" s="105"/>
      <c r="S169" s="38">
        <f t="shared" si="10"/>
        <v>3</v>
      </c>
      <c r="T169" s="24"/>
    </row>
    <row r="170" spans="1:20" s="11" customFormat="1" ht="12.5" x14ac:dyDescent="0.35">
      <c r="A170" s="18" t="str">
        <f>_xlfn.XLOOKUP("*"&amp;Tabela1[[#This Row],[Processo]]&amp;"*",'Árvore de Localização'!$H:$H,'Árvore de Localização'!$G:$G,"0000",2)</f>
        <v>2110.A</v>
      </c>
      <c r="B170" s="38" t="str">
        <f>_xlfn.XLOOKUP(Tabela1[[#This Row],[Processo]],'Árvore de Localização'!$D:$D,'Árvore de Localização'!$B:$B,"",0,1)</f>
        <v>Utilidades</v>
      </c>
      <c r="C170" s="42" t="str">
        <f>_xlfn.XLOOKUP(Tabela1[[#This Row],[Processo]],'Árvore de Localização'!$D:$D,'Árvore de Localização'!$C:$C,"",0,1)</f>
        <v>Estação de Tratamento de Água (ETA)</v>
      </c>
      <c r="D170" s="39" t="s">
        <v>235</v>
      </c>
      <c r="E170" s="19" t="s">
        <v>52</v>
      </c>
      <c r="F170" s="19" t="s">
        <v>43</v>
      </c>
      <c r="G170" s="101"/>
      <c r="H170" s="101"/>
      <c r="I170" s="112"/>
      <c r="J170" s="119"/>
      <c r="K170" s="52" t="str">
        <f>IF(OR(Tabela1[[#This Row],[Replan]]="",Tabela1[[#This Row],[Previsto (LB)]]=""),"",Tabela1[[#This Row],[Previsto (LB)]]-Tabela1[[#This Row],[Replan]])</f>
        <v/>
      </c>
      <c r="L170" s="20" t="s">
        <v>1641</v>
      </c>
      <c r="M170" s="21"/>
      <c r="N170" s="21"/>
      <c r="O170" s="19"/>
      <c r="P170" s="19"/>
      <c r="Q170" s="19"/>
      <c r="R170" s="105"/>
      <c r="S170" s="38">
        <f t="shared" si="10"/>
        <v>3</v>
      </c>
      <c r="T170" s="24"/>
    </row>
    <row r="171" spans="1:20" s="11" customFormat="1" ht="12.5" x14ac:dyDescent="0.35">
      <c r="A171" s="18" t="str">
        <f>_xlfn.XLOOKUP("*"&amp;Tabela1[[#This Row],[Processo]]&amp;"*",'Árvore de Localização'!$H:$H,'Árvore de Localização'!$G:$G,"0000",2)</f>
        <v>2110.A</v>
      </c>
      <c r="B171" s="38" t="str">
        <f>_xlfn.XLOOKUP(Tabela1[[#This Row],[Processo]],'Árvore de Localização'!$D:$D,'Árvore de Localização'!$B:$B,"",0,1)</f>
        <v>Utilidades</v>
      </c>
      <c r="C171" s="42" t="str">
        <f>_xlfn.XLOOKUP(Tabela1[[#This Row],[Processo]],'Árvore de Localização'!$D:$D,'Árvore de Localização'!$C:$C,"",0,1)</f>
        <v>Estação de Tratamento de Água (ETA)</v>
      </c>
      <c r="D171" s="39" t="s">
        <v>235</v>
      </c>
      <c r="E171" s="19" t="s">
        <v>52</v>
      </c>
      <c r="F171" s="19" t="s">
        <v>43</v>
      </c>
      <c r="G171" s="101"/>
      <c r="H171" s="101"/>
      <c r="I171" s="112"/>
      <c r="J171" s="119"/>
      <c r="K171" s="52" t="str">
        <f>IF(OR(Tabela1[[#This Row],[Replan]]="",Tabela1[[#This Row],[Previsto (LB)]]=""),"",Tabela1[[#This Row],[Previsto (LB)]]-Tabela1[[#This Row],[Replan]])</f>
        <v/>
      </c>
      <c r="L171" s="20" t="s">
        <v>1642</v>
      </c>
      <c r="M171" s="21"/>
      <c r="N171" s="21"/>
      <c r="O171" s="19"/>
      <c r="P171" s="19"/>
      <c r="Q171" s="19"/>
      <c r="R171" s="105"/>
      <c r="S171" s="38">
        <f t="shared" si="10"/>
        <v>3</v>
      </c>
      <c r="T171" s="24"/>
    </row>
    <row r="172" spans="1:20" s="11" customFormat="1" ht="12.5" x14ac:dyDescent="0.35">
      <c r="A172" s="18" t="str">
        <f>_xlfn.XLOOKUP("*"&amp;Tabela1[[#This Row],[Processo]]&amp;"*",'Árvore de Localização'!$H:$H,'Árvore de Localização'!$G:$G,"0000",2)</f>
        <v>2110.A</v>
      </c>
      <c r="B172" s="38" t="str">
        <f>_xlfn.XLOOKUP(Tabela1[[#This Row],[Processo]],'Árvore de Localização'!$D:$D,'Árvore de Localização'!$B:$B,"",0,1)</f>
        <v>Utilidades</v>
      </c>
      <c r="C172" s="42" t="str">
        <f>_xlfn.XLOOKUP(Tabela1[[#This Row],[Processo]],'Árvore de Localização'!$D:$D,'Árvore de Localização'!$C:$C,"",0,1)</f>
        <v>Estação de Tratamento de Água (ETA)</v>
      </c>
      <c r="D172" s="39" t="s">
        <v>235</v>
      </c>
      <c r="E172" s="19" t="s">
        <v>52</v>
      </c>
      <c r="F172" s="19" t="s">
        <v>43</v>
      </c>
      <c r="G172" s="101"/>
      <c r="H172" s="101"/>
      <c r="I172" s="112"/>
      <c r="J172" s="119"/>
      <c r="K172" s="52" t="str">
        <f>IF(OR(Tabela1[[#This Row],[Replan]]="",Tabela1[[#This Row],[Previsto (LB)]]=""),"",Tabela1[[#This Row],[Previsto (LB)]]-Tabela1[[#This Row],[Replan]])</f>
        <v/>
      </c>
      <c r="L172" s="20" t="s">
        <v>1643</v>
      </c>
      <c r="M172" s="21"/>
      <c r="N172" s="21"/>
      <c r="O172" s="19"/>
      <c r="P172" s="19"/>
      <c r="Q172" s="19"/>
      <c r="R172" s="105"/>
      <c r="S172" s="38">
        <f t="shared" si="10"/>
        <v>3</v>
      </c>
      <c r="T172" s="24"/>
    </row>
    <row r="173" spans="1:20" s="11" customFormat="1" ht="12.5" x14ac:dyDescent="0.35">
      <c r="A173" s="18" t="str">
        <f>_xlfn.XLOOKUP("*"&amp;Tabela1[[#This Row],[Processo]]&amp;"*",'Árvore de Localização'!$H:$H,'Árvore de Localização'!$G:$G,"0000",2)</f>
        <v>2110.A</v>
      </c>
      <c r="B173" s="38" t="str">
        <f>_xlfn.XLOOKUP(Tabela1[[#This Row],[Processo]],'Árvore de Localização'!$D:$D,'Árvore de Localização'!$B:$B,"",0,1)</f>
        <v>Utilidades</v>
      </c>
      <c r="C173" s="42" t="str">
        <f>_xlfn.XLOOKUP(Tabela1[[#This Row],[Processo]],'Árvore de Localização'!$D:$D,'Árvore de Localização'!$C:$C,"",0,1)</f>
        <v>Estação de Tratamento de Água (ETA)</v>
      </c>
      <c r="D173" s="39" t="s">
        <v>235</v>
      </c>
      <c r="E173" s="19" t="s">
        <v>53</v>
      </c>
      <c r="F173" s="19" t="s">
        <v>43</v>
      </c>
      <c r="G173" s="101"/>
      <c r="H173" s="101"/>
      <c r="I173" s="112"/>
      <c r="J173" s="119"/>
      <c r="K173" s="52" t="str">
        <f>IF(OR(Tabela1[[#This Row],[Replan]]="",Tabela1[[#This Row],[Previsto (LB)]]=""),"",Tabela1[[#This Row],[Previsto (LB)]]-Tabela1[[#This Row],[Replan]])</f>
        <v/>
      </c>
      <c r="L173" s="20" t="s">
        <v>1070</v>
      </c>
      <c r="M173" s="21"/>
      <c r="N173" s="21"/>
      <c r="O173" s="19"/>
      <c r="P173" s="19"/>
      <c r="Q173" s="19"/>
      <c r="R173" s="105"/>
      <c r="S173" s="38">
        <f t="shared" si="10"/>
        <v>3</v>
      </c>
      <c r="T173" s="24"/>
    </row>
    <row r="174" spans="1:20" s="11" customFormat="1" ht="12.5" x14ac:dyDescent="0.35">
      <c r="A174" s="18" t="str">
        <f>_xlfn.XLOOKUP("*"&amp;Tabela1[[#This Row],[Processo]]&amp;"*",'Árvore de Localização'!$H:$H,'Árvore de Localização'!$G:$G,"0000",2)</f>
        <v>2110.A</v>
      </c>
      <c r="B174" s="38" t="str">
        <f>_xlfn.XLOOKUP(Tabela1[[#This Row],[Processo]],'Árvore de Localização'!$D:$D,'Árvore de Localização'!$B:$B,"",0,1)</f>
        <v>Utilidades</v>
      </c>
      <c r="C174" s="42" t="str">
        <f>_xlfn.XLOOKUP(Tabela1[[#This Row],[Processo]],'Árvore de Localização'!$D:$D,'Árvore de Localização'!$C:$C,"",0,1)</f>
        <v>Estação de Tratamento de Água (ETA)</v>
      </c>
      <c r="D174" s="39" t="s">
        <v>235</v>
      </c>
      <c r="E174" s="19" t="s">
        <v>53</v>
      </c>
      <c r="F174" s="19" t="s">
        <v>43</v>
      </c>
      <c r="G174" s="101"/>
      <c r="H174" s="101"/>
      <c r="I174" s="112"/>
      <c r="J174" s="119"/>
      <c r="K174" s="52" t="str">
        <f>IF(OR(Tabela1[[#This Row],[Replan]]="",Tabela1[[#This Row],[Previsto (LB)]]=""),"",Tabela1[[#This Row],[Previsto (LB)]]-Tabela1[[#This Row],[Replan]])</f>
        <v/>
      </c>
      <c r="L174" s="20" t="s">
        <v>1071</v>
      </c>
      <c r="M174" s="21"/>
      <c r="N174" s="21"/>
      <c r="O174" s="19"/>
      <c r="P174" s="19"/>
      <c r="Q174" s="19"/>
      <c r="R174" s="105"/>
      <c r="S174" s="38">
        <f t="shared" si="10"/>
        <v>3</v>
      </c>
      <c r="T174" s="24"/>
    </row>
    <row r="175" spans="1:20" s="11" customFormat="1" ht="12.5" x14ac:dyDescent="0.35">
      <c r="A175" s="18" t="str">
        <f>_xlfn.XLOOKUP("*"&amp;Tabela1[[#This Row],[Processo]]&amp;"*",'Árvore de Localização'!$H:$H,'Árvore de Localização'!$G:$G,"0000",2)</f>
        <v>2110.A</v>
      </c>
      <c r="B175" s="38" t="str">
        <f>_xlfn.XLOOKUP(Tabela1[[#This Row],[Processo]],'Árvore de Localização'!$D:$D,'Árvore de Localização'!$B:$B,"",0,1)</f>
        <v>Utilidades</v>
      </c>
      <c r="C175" s="42" t="str">
        <f>_xlfn.XLOOKUP(Tabela1[[#This Row],[Processo]],'Árvore de Localização'!$D:$D,'Árvore de Localização'!$C:$C,"",0,1)</f>
        <v>Estação de Tratamento de Água (ETA)</v>
      </c>
      <c r="D175" s="39" t="s">
        <v>235</v>
      </c>
      <c r="E175" s="19" t="s">
        <v>53</v>
      </c>
      <c r="F175" s="19" t="s">
        <v>43</v>
      </c>
      <c r="G175" s="101"/>
      <c r="H175" s="101"/>
      <c r="I175" s="112"/>
      <c r="J175" s="119"/>
      <c r="K175" s="52" t="str">
        <f>IF(OR(Tabela1[[#This Row],[Replan]]="",Tabela1[[#This Row],[Previsto (LB)]]=""),"",Tabela1[[#This Row],[Previsto (LB)]]-Tabela1[[#This Row],[Replan]])</f>
        <v/>
      </c>
      <c r="L175" s="20" t="s">
        <v>1644</v>
      </c>
      <c r="M175" s="21"/>
      <c r="N175" s="25"/>
      <c r="O175" s="19"/>
      <c r="P175" s="19"/>
      <c r="Q175" s="19"/>
      <c r="R175" s="105"/>
      <c r="S175" s="38">
        <f t="shared" si="10"/>
        <v>3</v>
      </c>
      <c r="T175" s="24"/>
    </row>
    <row r="176" spans="1:20" s="11" customFormat="1" ht="12.5" x14ac:dyDescent="0.35">
      <c r="A176" s="18" t="str">
        <f>_xlfn.XLOOKUP("*"&amp;Tabela1[[#This Row],[Processo]]&amp;"*",'Árvore de Localização'!$H:$H,'Árvore de Localização'!$G:$G,"0000",2)</f>
        <v>2110.A</v>
      </c>
      <c r="B176" s="38" t="str">
        <f>_xlfn.XLOOKUP(Tabela1[[#This Row],[Processo]],'Árvore de Localização'!$D:$D,'Árvore de Localização'!$B:$B,"",0,1)</f>
        <v>Utilidades</v>
      </c>
      <c r="C176" s="42" t="str">
        <f>_xlfn.XLOOKUP(Tabela1[[#This Row],[Processo]],'Árvore de Localização'!$D:$D,'Árvore de Localização'!$C:$C,"",0,1)</f>
        <v>Estação de Tratamento de Água (ETA)</v>
      </c>
      <c r="D176" s="39" t="s">
        <v>235</v>
      </c>
      <c r="E176" s="19" t="s">
        <v>53</v>
      </c>
      <c r="F176" s="19" t="s">
        <v>43</v>
      </c>
      <c r="G176" s="101"/>
      <c r="H176" s="101"/>
      <c r="I176" s="112"/>
      <c r="J176" s="119"/>
      <c r="K176" s="52" t="str">
        <f>IF(OR(Tabela1[[#This Row],[Replan]]="",Tabela1[[#This Row],[Previsto (LB)]]=""),"",Tabela1[[#This Row],[Previsto (LB)]]-Tabela1[[#This Row],[Replan]])</f>
        <v/>
      </c>
      <c r="L176" s="20" t="s">
        <v>1645</v>
      </c>
      <c r="M176" s="21"/>
      <c r="N176" s="21"/>
      <c r="O176" s="19"/>
      <c r="P176" s="19"/>
      <c r="Q176" s="19"/>
      <c r="R176" s="105"/>
      <c r="S176" s="38">
        <f t="shared" si="10"/>
        <v>3</v>
      </c>
      <c r="T176" s="23"/>
    </row>
    <row r="177" spans="1:20" s="11" customFormat="1" ht="12.5" x14ac:dyDescent="0.35">
      <c r="A177" s="18" t="str">
        <f>_xlfn.XLOOKUP("*"&amp;Tabela1[[#This Row],[Processo]]&amp;"*",'Árvore de Localização'!$H:$H,'Árvore de Localização'!$G:$G,"0000",2)</f>
        <v>2110.A</v>
      </c>
      <c r="B177" s="38" t="str">
        <f>_xlfn.XLOOKUP(Tabela1[[#This Row],[Processo]],'Árvore de Localização'!$D:$D,'Árvore de Localização'!$B:$B,"",0,1)</f>
        <v>Utilidades</v>
      </c>
      <c r="C177" s="42" t="str">
        <f>_xlfn.XLOOKUP(Tabela1[[#This Row],[Processo]],'Árvore de Localização'!$D:$D,'Árvore de Localização'!$C:$C,"",0,1)</f>
        <v>Estação de Tratamento de Água (ETA)</v>
      </c>
      <c r="D177" s="39" t="s">
        <v>235</v>
      </c>
      <c r="E177" s="19" t="s">
        <v>53</v>
      </c>
      <c r="F177" s="19" t="s">
        <v>43</v>
      </c>
      <c r="G177" s="101"/>
      <c r="H177" s="101"/>
      <c r="I177" s="112"/>
      <c r="J177" s="119"/>
      <c r="K177" s="52" t="str">
        <f>IF(OR(Tabela1[[#This Row],[Replan]]="",Tabela1[[#This Row],[Previsto (LB)]]=""),"",Tabela1[[#This Row],[Previsto (LB)]]-Tabela1[[#This Row],[Replan]])</f>
        <v/>
      </c>
      <c r="L177" s="20" t="s">
        <v>1646</v>
      </c>
      <c r="M177" s="21"/>
      <c r="N177" s="21"/>
      <c r="O177" s="19"/>
      <c r="P177" s="19"/>
      <c r="Q177" s="19"/>
      <c r="R177" s="105"/>
      <c r="S177" s="38">
        <f t="shared" si="10"/>
        <v>3</v>
      </c>
      <c r="T177" s="23"/>
    </row>
    <row r="178" spans="1:20" s="11" customFormat="1" ht="12.5" x14ac:dyDescent="0.35">
      <c r="A178" s="18" t="str">
        <f>_xlfn.XLOOKUP("*"&amp;Tabela1[[#This Row],[Processo]]&amp;"*",'Árvore de Localização'!$H:$H,'Árvore de Localização'!$G:$G,"0000",2)</f>
        <v>2110.A</v>
      </c>
      <c r="B178" s="38" t="str">
        <f>_xlfn.XLOOKUP(Tabela1[[#This Row],[Processo]],'Árvore de Localização'!$D:$D,'Árvore de Localização'!$B:$B,"",0,1)</f>
        <v>Utilidades</v>
      </c>
      <c r="C178" s="42" t="str">
        <f>_xlfn.XLOOKUP(Tabela1[[#This Row],[Processo]],'Árvore de Localização'!$D:$D,'Árvore de Localização'!$C:$C,"",0,1)</f>
        <v>Estação de Tratamento de Água (ETA)</v>
      </c>
      <c r="D178" s="39" t="s">
        <v>235</v>
      </c>
      <c r="E178" s="19" t="s">
        <v>53</v>
      </c>
      <c r="F178" s="19" t="s">
        <v>43</v>
      </c>
      <c r="G178" s="101"/>
      <c r="H178" s="101"/>
      <c r="I178" s="112"/>
      <c r="J178" s="119"/>
      <c r="K178" s="52" t="str">
        <f>IF(OR(Tabela1[[#This Row],[Replan]]="",Tabela1[[#This Row],[Previsto (LB)]]=""),"",Tabela1[[#This Row],[Previsto (LB)]]-Tabela1[[#This Row],[Replan]])</f>
        <v/>
      </c>
      <c r="L178" s="20" t="s">
        <v>1647</v>
      </c>
      <c r="M178" s="21"/>
      <c r="N178" s="21"/>
      <c r="O178" s="19"/>
      <c r="P178" s="19"/>
      <c r="Q178" s="19"/>
      <c r="R178" s="105"/>
      <c r="S178" s="38">
        <f t="shared" si="10"/>
        <v>3</v>
      </c>
      <c r="T178" s="23"/>
    </row>
    <row r="179" spans="1:20" s="11" customFormat="1" ht="12.5" x14ac:dyDescent="0.35">
      <c r="A179" s="18" t="str">
        <f>_xlfn.XLOOKUP("*"&amp;Tabela1[[#This Row],[Processo]]&amp;"*",'Árvore de Localização'!$H:$H,'Árvore de Localização'!$G:$G,"0000",2)</f>
        <v>2110.A</v>
      </c>
      <c r="B179" s="38" t="str">
        <f>_xlfn.XLOOKUP(Tabela1[[#This Row],[Processo]],'Árvore de Localização'!$D:$D,'Árvore de Localização'!$B:$B,"",0,1)</f>
        <v>Utilidades</v>
      </c>
      <c r="C179" s="42" t="str">
        <f>_xlfn.XLOOKUP(Tabela1[[#This Row],[Processo]],'Árvore de Localização'!$D:$D,'Árvore de Localização'!$C:$C,"",0,1)</f>
        <v>Estação de Tratamento de Água (ETA)</v>
      </c>
      <c r="D179" s="39" t="s">
        <v>235</v>
      </c>
      <c r="E179" s="19" t="s">
        <v>53</v>
      </c>
      <c r="F179" s="19" t="s">
        <v>43</v>
      </c>
      <c r="G179" s="101"/>
      <c r="H179" s="101"/>
      <c r="I179" s="112"/>
      <c r="J179" s="119"/>
      <c r="K179" s="52" t="str">
        <f>IF(OR(Tabela1[[#This Row],[Replan]]="",Tabela1[[#This Row],[Previsto (LB)]]=""),"",Tabela1[[#This Row],[Previsto (LB)]]-Tabela1[[#This Row],[Replan]])</f>
        <v/>
      </c>
      <c r="L179" s="20" t="s">
        <v>1648</v>
      </c>
      <c r="M179" s="21"/>
      <c r="N179" s="21"/>
      <c r="O179" s="19"/>
      <c r="P179" s="19"/>
      <c r="Q179" s="19"/>
      <c r="R179" s="105"/>
      <c r="S179" s="38">
        <f t="shared" si="10"/>
        <v>3</v>
      </c>
      <c r="T179" s="23"/>
    </row>
    <row r="180" spans="1:20" s="11" customFormat="1" ht="12.5" x14ac:dyDescent="0.35">
      <c r="A180" s="18" t="str">
        <f>_xlfn.XLOOKUP("*"&amp;Tabela1[[#This Row],[Processo]]&amp;"*",'Árvore de Localização'!$H:$H,'Árvore de Localização'!$G:$G,"0000",2)</f>
        <v>2110.A</v>
      </c>
      <c r="B180" s="38" t="str">
        <f>_xlfn.XLOOKUP(Tabela1[[#This Row],[Processo]],'Árvore de Localização'!$D:$D,'Árvore de Localização'!$B:$B,"",0,1)</f>
        <v>Utilidades</v>
      </c>
      <c r="C180" s="42" t="str">
        <f>_xlfn.XLOOKUP(Tabela1[[#This Row],[Processo]],'Árvore de Localização'!$D:$D,'Árvore de Localização'!$C:$C,"",0,1)</f>
        <v>Estação de Tratamento de Água (ETA)</v>
      </c>
      <c r="D180" s="39" t="s">
        <v>235</v>
      </c>
      <c r="E180" s="19" t="s">
        <v>54</v>
      </c>
      <c r="F180" s="19" t="s">
        <v>43</v>
      </c>
      <c r="G180" s="101"/>
      <c r="H180" s="101"/>
      <c r="I180" s="112"/>
      <c r="J180" s="119"/>
      <c r="K180" s="52" t="str">
        <f>IF(OR(Tabela1[[#This Row],[Replan]]="",Tabela1[[#This Row],[Previsto (LB)]]=""),"",Tabela1[[#This Row],[Previsto (LB)]]-Tabela1[[#This Row],[Replan]])</f>
        <v/>
      </c>
      <c r="L180" s="20" t="s">
        <v>1072</v>
      </c>
      <c r="M180" s="21"/>
      <c r="N180" s="21"/>
      <c r="O180" s="19"/>
      <c r="P180" s="19"/>
      <c r="Q180" s="19"/>
      <c r="R180" s="105"/>
      <c r="S180" s="38">
        <f t="shared" si="10"/>
        <v>3</v>
      </c>
      <c r="T180" s="23"/>
    </row>
    <row r="181" spans="1:20" s="11" customFormat="1" ht="12.5" x14ac:dyDescent="0.35">
      <c r="A181" s="18" t="str">
        <f>_xlfn.XLOOKUP("*"&amp;Tabela1[[#This Row],[Processo]]&amp;"*",'Árvore de Localização'!$H:$H,'Árvore de Localização'!$G:$G,"0000",2)</f>
        <v>2110.A</v>
      </c>
      <c r="B181" s="38" t="str">
        <f>_xlfn.XLOOKUP(Tabela1[[#This Row],[Processo]],'Árvore de Localização'!$D:$D,'Árvore de Localização'!$B:$B,"",0,1)</f>
        <v>Utilidades</v>
      </c>
      <c r="C181" s="42" t="str">
        <f>_xlfn.XLOOKUP(Tabela1[[#This Row],[Processo]],'Árvore de Localização'!$D:$D,'Árvore de Localização'!$C:$C,"",0,1)</f>
        <v>Estação de Tratamento de Água (ETA)</v>
      </c>
      <c r="D181" s="39" t="s">
        <v>235</v>
      </c>
      <c r="E181" s="19" t="s">
        <v>54</v>
      </c>
      <c r="F181" s="19" t="s">
        <v>43</v>
      </c>
      <c r="G181" s="101"/>
      <c r="H181" s="101"/>
      <c r="I181" s="112"/>
      <c r="J181" s="119"/>
      <c r="K181" s="52" t="str">
        <f>IF(OR(Tabela1[[#This Row],[Replan]]="",Tabela1[[#This Row],[Previsto (LB)]]=""),"",Tabela1[[#This Row],[Previsto (LB)]]-Tabela1[[#This Row],[Replan]])</f>
        <v/>
      </c>
      <c r="L181" s="20" t="s">
        <v>1073</v>
      </c>
      <c r="M181" s="21"/>
      <c r="N181" s="21"/>
      <c r="O181" s="19"/>
      <c r="P181" s="19"/>
      <c r="Q181" s="19"/>
      <c r="R181" s="105"/>
      <c r="S181" s="38">
        <f t="shared" si="10"/>
        <v>3</v>
      </c>
      <c r="T181" s="23"/>
    </row>
    <row r="182" spans="1:20" s="11" customFormat="1" ht="12.5" x14ac:dyDescent="0.35">
      <c r="A182" s="18" t="str">
        <f>_xlfn.XLOOKUP("*"&amp;Tabela1[[#This Row],[Processo]]&amp;"*",'Árvore de Localização'!$H:$H,'Árvore de Localização'!$G:$G,"0000",2)</f>
        <v>2110.A</v>
      </c>
      <c r="B182" s="38" t="str">
        <f>_xlfn.XLOOKUP(Tabela1[[#This Row],[Processo]],'Árvore de Localização'!$D:$D,'Árvore de Localização'!$B:$B,"",0,1)</f>
        <v>Utilidades</v>
      </c>
      <c r="C182" s="42" t="str">
        <f>_xlfn.XLOOKUP(Tabela1[[#This Row],[Processo]],'Árvore de Localização'!$D:$D,'Árvore de Localização'!$C:$C,"",0,1)</f>
        <v>Estação de Tratamento de Água (ETA)</v>
      </c>
      <c r="D182" s="39" t="s">
        <v>235</v>
      </c>
      <c r="E182" s="19" t="s">
        <v>54</v>
      </c>
      <c r="F182" s="19" t="s">
        <v>43</v>
      </c>
      <c r="G182" s="101"/>
      <c r="H182" s="101"/>
      <c r="I182" s="112"/>
      <c r="J182" s="119"/>
      <c r="K182" s="52" t="str">
        <f>IF(OR(Tabela1[[#This Row],[Replan]]="",Tabela1[[#This Row],[Previsto (LB)]]=""),"",Tabela1[[#This Row],[Previsto (LB)]]-Tabela1[[#This Row],[Replan]])</f>
        <v/>
      </c>
      <c r="L182" s="20" t="s">
        <v>1649</v>
      </c>
      <c r="M182" s="21"/>
      <c r="N182" s="25"/>
      <c r="O182" s="19"/>
      <c r="P182" s="19"/>
      <c r="Q182" s="19"/>
      <c r="R182" s="105"/>
      <c r="S182" s="38">
        <f t="shared" si="10"/>
        <v>3</v>
      </c>
      <c r="T182" s="23"/>
    </row>
    <row r="183" spans="1:20" s="11" customFormat="1" ht="12.5" x14ac:dyDescent="0.35">
      <c r="A183" s="18" t="str">
        <f>_xlfn.XLOOKUP("*"&amp;Tabela1[[#This Row],[Processo]]&amp;"*",'Árvore de Localização'!$H:$H,'Árvore de Localização'!$G:$G,"0000",2)</f>
        <v>2110.A</v>
      </c>
      <c r="B183" s="38" t="str">
        <f>_xlfn.XLOOKUP(Tabela1[[#This Row],[Processo]],'Árvore de Localização'!$D:$D,'Árvore de Localização'!$B:$B,"",0,1)</f>
        <v>Utilidades</v>
      </c>
      <c r="C183" s="42" t="str">
        <f>_xlfn.XLOOKUP(Tabela1[[#This Row],[Processo]],'Árvore de Localização'!$D:$D,'Árvore de Localização'!$C:$C,"",0,1)</f>
        <v>Estação de Tratamento de Água (ETA)</v>
      </c>
      <c r="D183" s="39" t="s">
        <v>235</v>
      </c>
      <c r="E183" s="19" t="s">
        <v>54</v>
      </c>
      <c r="F183" s="19" t="s">
        <v>43</v>
      </c>
      <c r="G183" s="101"/>
      <c r="H183" s="101"/>
      <c r="I183" s="112"/>
      <c r="J183" s="119"/>
      <c r="K183" s="52" t="str">
        <f>IF(OR(Tabela1[[#This Row],[Replan]]="",Tabela1[[#This Row],[Previsto (LB)]]=""),"",Tabela1[[#This Row],[Previsto (LB)]]-Tabela1[[#This Row],[Replan]])</f>
        <v/>
      </c>
      <c r="L183" s="20" t="s">
        <v>1650</v>
      </c>
      <c r="M183" s="21"/>
      <c r="N183" s="21"/>
      <c r="O183" s="19"/>
      <c r="P183" s="19"/>
      <c r="Q183" s="19"/>
      <c r="R183" s="105"/>
      <c r="S183" s="38">
        <f t="shared" si="10"/>
        <v>3</v>
      </c>
      <c r="T183" s="23"/>
    </row>
    <row r="184" spans="1:20" s="11" customFormat="1" ht="12.5" x14ac:dyDescent="0.35">
      <c r="A184" s="18" t="str">
        <f>_xlfn.XLOOKUP("*"&amp;Tabela1[[#This Row],[Processo]]&amp;"*",'Árvore de Localização'!$H:$H,'Árvore de Localização'!$G:$G,"0000",2)</f>
        <v>2110.A</v>
      </c>
      <c r="B184" s="38" t="str">
        <f>_xlfn.XLOOKUP(Tabela1[[#This Row],[Processo]],'Árvore de Localização'!$D:$D,'Árvore de Localização'!$B:$B,"",0,1)</f>
        <v>Utilidades</v>
      </c>
      <c r="C184" s="42" t="str">
        <f>_xlfn.XLOOKUP(Tabela1[[#This Row],[Processo]],'Árvore de Localização'!$D:$D,'Árvore de Localização'!$C:$C,"",0,1)</f>
        <v>Estação de Tratamento de Água (ETA)</v>
      </c>
      <c r="D184" s="39" t="s">
        <v>235</v>
      </c>
      <c r="E184" s="19" t="s">
        <v>54</v>
      </c>
      <c r="F184" s="19" t="s">
        <v>43</v>
      </c>
      <c r="G184" s="101"/>
      <c r="H184" s="101"/>
      <c r="I184" s="112"/>
      <c r="J184" s="119"/>
      <c r="K184" s="52" t="str">
        <f>IF(OR(Tabela1[[#This Row],[Replan]]="",Tabela1[[#This Row],[Previsto (LB)]]=""),"",Tabela1[[#This Row],[Previsto (LB)]]-Tabela1[[#This Row],[Replan]])</f>
        <v/>
      </c>
      <c r="L184" s="20" t="s">
        <v>1651</v>
      </c>
      <c r="M184" s="21"/>
      <c r="N184" s="21"/>
      <c r="O184" s="19"/>
      <c r="P184" s="19"/>
      <c r="Q184" s="19"/>
      <c r="R184" s="105"/>
      <c r="S184" s="38">
        <f t="shared" si="10"/>
        <v>3</v>
      </c>
      <c r="T184" s="23"/>
    </row>
    <row r="185" spans="1:20" s="11" customFormat="1" ht="12.5" x14ac:dyDescent="0.35">
      <c r="A185" s="18" t="str">
        <f>_xlfn.XLOOKUP("*"&amp;Tabela1[[#This Row],[Processo]]&amp;"*",'Árvore de Localização'!$H:$H,'Árvore de Localização'!$G:$G,"0000",2)</f>
        <v>2110.A</v>
      </c>
      <c r="B185" s="38" t="str">
        <f>_xlfn.XLOOKUP(Tabela1[[#This Row],[Processo]],'Árvore de Localização'!$D:$D,'Árvore de Localização'!$B:$B,"",0,1)</f>
        <v>Utilidades</v>
      </c>
      <c r="C185" s="42" t="str">
        <f>_xlfn.XLOOKUP(Tabela1[[#This Row],[Processo]],'Árvore de Localização'!$D:$D,'Árvore de Localização'!$C:$C,"",0,1)</f>
        <v>Estação de Tratamento de Água (ETA)</v>
      </c>
      <c r="D185" s="39" t="s">
        <v>235</v>
      </c>
      <c r="E185" s="19" t="s">
        <v>54</v>
      </c>
      <c r="F185" s="19" t="s">
        <v>43</v>
      </c>
      <c r="G185" s="101"/>
      <c r="H185" s="101"/>
      <c r="I185" s="112"/>
      <c r="J185" s="119"/>
      <c r="K185" s="52" t="str">
        <f>IF(OR(Tabela1[[#This Row],[Replan]]="",Tabela1[[#This Row],[Previsto (LB)]]=""),"",Tabela1[[#This Row],[Previsto (LB)]]-Tabela1[[#This Row],[Replan]])</f>
        <v/>
      </c>
      <c r="L185" s="20" t="s">
        <v>1652</v>
      </c>
      <c r="M185" s="21"/>
      <c r="N185" s="21"/>
      <c r="O185" s="19"/>
      <c r="P185" s="19"/>
      <c r="Q185" s="19"/>
      <c r="R185" s="105"/>
      <c r="S185" s="38">
        <f t="shared" si="10"/>
        <v>3</v>
      </c>
      <c r="T185" s="23"/>
    </row>
    <row r="186" spans="1:20" s="11" customFormat="1" ht="12.5" x14ac:dyDescent="0.35">
      <c r="A186" s="18" t="str">
        <f>_xlfn.XLOOKUP("*"&amp;Tabela1[[#This Row],[Processo]]&amp;"*",'Árvore de Localização'!$H:$H,'Árvore de Localização'!$G:$G,"0000",2)</f>
        <v>2110.A</v>
      </c>
      <c r="B186" s="38" t="str">
        <f>_xlfn.XLOOKUP(Tabela1[[#This Row],[Processo]],'Árvore de Localização'!$D:$D,'Árvore de Localização'!$B:$B,"",0,1)</f>
        <v>Utilidades</v>
      </c>
      <c r="C186" s="42" t="str">
        <f>_xlfn.XLOOKUP(Tabela1[[#This Row],[Processo]],'Árvore de Localização'!$D:$D,'Árvore de Localização'!$C:$C,"",0,1)</f>
        <v>Estação de Tratamento de Água (ETA)</v>
      </c>
      <c r="D186" s="39" t="s">
        <v>235</v>
      </c>
      <c r="E186" s="19" t="s">
        <v>54</v>
      </c>
      <c r="F186" s="19" t="s">
        <v>43</v>
      </c>
      <c r="G186" s="101"/>
      <c r="H186" s="101"/>
      <c r="I186" s="112"/>
      <c r="J186" s="119"/>
      <c r="K186" s="52" t="str">
        <f>IF(OR(Tabela1[[#This Row],[Replan]]="",Tabela1[[#This Row],[Previsto (LB)]]=""),"",Tabela1[[#This Row],[Previsto (LB)]]-Tabela1[[#This Row],[Replan]])</f>
        <v/>
      </c>
      <c r="L186" s="20" t="s">
        <v>1653</v>
      </c>
      <c r="M186" s="21"/>
      <c r="N186" s="21"/>
      <c r="O186" s="19"/>
      <c r="P186" s="19"/>
      <c r="Q186" s="19"/>
      <c r="R186" s="105"/>
      <c r="S186" s="38">
        <f t="shared" si="10"/>
        <v>3</v>
      </c>
      <c r="T186" s="23"/>
    </row>
    <row r="187" spans="1:20" s="11" customFormat="1" ht="12.5" x14ac:dyDescent="0.35">
      <c r="A187" s="18" t="str">
        <f>_xlfn.XLOOKUP("*"&amp;Tabela1[[#This Row],[Processo]]&amp;"*",'Árvore de Localização'!$H:$H,'Árvore de Localização'!$G:$G,"0000",2)</f>
        <v>2110.A</v>
      </c>
      <c r="B187" s="38" t="str">
        <f>_xlfn.XLOOKUP(Tabela1[[#This Row],[Processo]],'Árvore de Localização'!$D:$D,'Árvore de Localização'!$B:$B,"",0,1)</f>
        <v>Utilidades</v>
      </c>
      <c r="C187" s="42" t="str">
        <f>_xlfn.XLOOKUP(Tabela1[[#This Row],[Processo]],'Árvore de Localização'!$D:$D,'Árvore de Localização'!$C:$C,"",0,1)</f>
        <v>Estação de Tratamento de Água (ETA)</v>
      </c>
      <c r="D187" s="39" t="s">
        <v>235</v>
      </c>
      <c r="E187" s="19" t="s">
        <v>55</v>
      </c>
      <c r="F187" s="19" t="s">
        <v>43</v>
      </c>
      <c r="G187" s="101"/>
      <c r="H187" s="101"/>
      <c r="I187" s="112"/>
      <c r="J187" s="119"/>
      <c r="K187" s="52" t="str">
        <f>IF(OR(Tabela1[[#This Row],[Replan]]="",Tabela1[[#This Row],[Previsto (LB)]]=""),"",Tabela1[[#This Row],[Previsto (LB)]]-Tabela1[[#This Row],[Replan]])</f>
        <v/>
      </c>
      <c r="L187" s="20" t="s">
        <v>1074</v>
      </c>
      <c r="M187" s="21"/>
      <c r="N187" s="21"/>
      <c r="O187" s="19"/>
      <c r="P187" s="19"/>
      <c r="Q187" s="19"/>
      <c r="R187" s="105"/>
      <c r="S187" s="38">
        <f t="shared" si="10"/>
        <v>3</v>
      </c>
      <c r="T187" s="23"/>
    </row>
    <row r="188" spans="1:20" s="11" customFormat="1" ht="12.5" x14ac:dyDescent="0.35">
      <c r="A188" s="18" t="str">
        <f>_xlfn.XLOOKUP("*"&amp;Tabela1[[#This Row],[Processo]]&amp;"*",'Árvore de Localização'!$H:$H,'Árvore de Localização'!$G:$G,"0000",2)</f>
        <v>2110.A</v>
      </c>
      <c r="B188" s="38" t="str">
        <f>_xlfn.XLOOKUP(Tabela1[[#This Row],[Processo]],'Árvore de Localização'!$D:$D,'Árvore de Localização'!$B:$B,"",0,1)</f>
        <v>Utilidades</v>
      </c>
      <c r="C188" s="42" t="str">
        <f>_xlfn.XLOOKUP(Tabela1[[#This Row],[Processo]],'Árvore de Localização'!$D:$D,'Árvore de Localização'!$C:$C,"",0,1)</f>
        <v>Estação de Tratamento de Água (ETA)</v>
      </c>
      <c r="D188" s="39" t="s">
        <v>235</v>
      </c>
      <c r="E188" s="19" t="s">
        <v>55</v>
      </c>
      <c r="F188" s="19" t="s">
        <v>43</v>
      </c>
      <c r="G188" s="101"/>
      <c r="H188" s="101"/>
      <c r="I188" s="112"/>
      <c r="J188" s="119"/>
      <c r="K188" s="52" t="str">
        <f>IF(OR(Tabela1[[#This Row],[Replan]]="",Tabela1[[#This Row],[Previsto (LB)]]=""),"",Tabela1[[#This Row],[Previsto (LB)]]-Tabela1[[#This Row],[Replan]])</f>
        <v/>
      </c>
      <c r="L188" s="20" t="s">
        <v>1075</v>
      </c>
      <c r="M188" s="21"/>
      <c r="N188" s="21"/>
      <c r="O188" s="19"/>
      <c r="P188" s="19"/>
      <c r="Q188" s="19"/>
      <c r="R188" s="105"/>
      <c r="S188" s="38">
        <f t="shared" si="10"/>
        <v>3</v>
      </c>
      <c r="T188" s="23"/>
    </row>
    <row r="189" spans="1:20" s="11" customFormat="1" ht="12.5" x14ac:dyDescent="0.35">
      <c r="A189" s="18" t="str">
        <f>_xlfn.XLOOKUP("*"&amp;Tabela1[[#This Row],[Processo]]&amp;"*",'Árvore de Localização'!$H:$H,'Árvore de Localização'!$G:$G,"0000",2)</f>
        <v>2110.A</v>
      </c>
      <c r="B189" s="38" t="str">
        <f>_xlfn.XLOOKUP(Tabela1[[#This Row],[Processo]],'Árvore de Localização'!$D:$D,'Árvore de Localização'!$B:$B,"",0,1)</f>
        <v>Utilidades</v>
      </c>
      <c r="C189" s="42" t="str">
        <f>_xlfn.XLOOKUP(Tabela1[[#This Row],[Processo]],'Árvore de Localização'!$D:$D,'Árvore de Localização'!$C:$C,"",0,1)</f>
        <v>Estação de Tratamento de Água (ETA)</v>
      </c>
      <c r="D189" s="39" t="s">
        <v>235</v>
      </c>
      <c r="E189" s="19" t="s">
        <v>55</v>
      </c>
      <c r="F189" s="19" t="s">
        <v>43</v>
      </c>
      <c r="G189" s="101"/>
      <c r="H189" s="101"/>
      <c r="I189" s="112"/>
      <c r="J189" s="119"/>
      <c r="K189" s="52" t="str">
        <f>IF(OR(Tabela1[[#This Row],[Replan]]="",Tabela1[[#This Row],[Previsto (LB)]]=""),"",Tabela1[[#This Row],[Previsto (LB)]]-Tabela1[[#This Row],[Replan]])</f>
        <v/>
      </c>
      <c r="L189" s="20" t="s">
        <v>1654</v>
      </c>
      <c r="M189" s="21"/>
      <c r="N189" s="25"/>
      <c r="O189" s="19"/>
      <c r="P189" s="19"/>
      <c r="Q189" s="19"/>
      <c r="R189" s="105"/>
      <c r="S189" s="38">
        <f t="shared" si="10"/>
        <v>3</v>
      </c>
      <c r="T189" s="23"/>
    </row>
    <row r="190" spans="1:20" s="11" customFormat="1" ht="12.5" x14ac:dyDescent="0.35">
      <c r="A190" s="18" t="str">
        <f>_xlfn.XLOOKUP("*"&amp;Tabela1[[#This Row],[Processo]]&amp;"*",'Árvore de Localização'!$H:$H,'Árvore de Localização'!$G:$G,"0000",2)</f>
        <v>2110.A</v>
      </c>
      <c r="B190" s="38" t="str">
        <f>_xlfn.XLOOKUP(Tabela1[[#This Row],[Processo]],'Árvore de Localização'!$D:$D,'Árvore de Localização'!$B:$B,"",0,1)</f>
        <v>Utilidades</v>
      </c>
      <c r="C190" s="42" t="str">
        <f>_xlfn.XLOOKUP(Tabela1[[#This Row],[Processo]],'Árvore de Localização'!$D:$D,'Árvore de Localização'!$C:$C,"",0,1)</f>
        <v>Estação de Tratamento de Água (ETA)</v>
      </c>
      <c r="D190" s="39" t="s">
        <v>235</v>
      </c>
      <c r="E190" s="19" t="s">
        <v>55</v>
      </c>
      <c r="F190" s="19" t="s">
        <v>43</v>
      </c>
      <c r="G190" s="101"/>
      <c r="H190" s="101"/>
      <c r="I190" s="112"/>
      <c r="J190" s="119"/>
      <c r="K190" s="52" t="str">
        <f>IF(OR(Tabela1[[#This Row],[Replan]]="",Tabela1[[#This Row],[Previsto (LB)]]=""),"",Tabela1[[#This Row],[Previsto (LB)]]-Tabela1[[#This Row],[Replan]])</f>
        <v/>
      </c>
      <c r="L190" s="20" t="s">
        <v>1655</v>
      </c>
      <c r="M190" s="21"/>
      <c r="N190" s="21"/>
      <c r="O190" s="19"/>
      <c r="P190" s="19"/>
      <c r="Q190" s="19"/>
      <c r="R190" s="105"/>
      <c r="S190" s="38">
        <f t="shared" si="10"/>
        <v>3</v>
      </c>
      <c r="T190" s="23"/>
    </row>
    <row r="191" spans="1:20" s="11" customFormat="1" ht="12.5" x14ac:dyDescent="0.35">
      <c r="A191" s="18" t="str">
        <f>_xlfn.XLOOKUP("*"&amp;Tabela1[[#This Row],[Processo]]&amp;"*",'Árvore de Localização'!$H:$H,'Árvore de Localização'!$G:$G,"0000",2)</f>
        <v>2110.A</v>
      </c>
      <c r="B191" s="38" t="str">
        <f>_xlfn.XLOOKUP(Tabela1[[#This Row],[Processo]],'Árvore de Localização'!$D:$D,'Árvore de Localização'!$B:$B,"",0,1)</f>
        <v>Utilidades</v>
      </c>
      <c r="C191" s="42" t="str">
        <f>_xlfn.XLOOKUP(Tabela1[[#This Row],[Processo]],'Árvore de Localização'!$D:$D,'Árvore de Localização'!$C:$C,"",0,1)</f>
        <v>Estação de Tratamento de Água (ETA)</v>
      </c>
      <c r="D191" s="39" t="s">
        <v>235</v>
      </c>
      <c r="E191" s="19" t="s">
        <v>55</v>
      </c>
      <c r="F191" s="19" t="s">
        <v>43</v>
      </c>
      <c r="G191" s="101"/>
      <c r="H191" s="101"/>
      <c r="I191" s="112"/>
      <c r="J191" s="119"/>
      <c r="K191" s="52" t="str">
        <f>IF(OR(Tabela1[[#This Row],[Replan]]="",Tabela1[[#This Row],[Previsto (LB)]]=""),"",Tabela1[[#This Row],[Previsto (LB)]]-Tabela1[[#This Row],[Replan]])</f>
        <v/>
      </c>
      <c r="L191" s="20" t="s">
        <v>1656</v>
      </c>
      <c r="M191" s="21"/>
      <c r="N191" s="21"/>
      <c r="O191" s="19"/>
      <c r="P191" s="19"/>
      <c r="Q191" s="19"/>
      <c r="R191" s="105"/>
      <c r="S191" s="38">
        <f t="shared" si="10"/>
        <v>3</v>
      </c>
      <c r="T191" s="23"/>
    </row>
    <row r="192" spans="1:20" s="11" customFormat="1" ht="12.5" x14ac:dyDescent="0.35">
      <c r="A192" s="18" t="str">
        <f>_xlfn.XLOOKUP("*"&amp;Tabela1[[#This Row],[Processo]]&amp;"*",'Árvore de Localização'!$H:$H,'Árvore de Localização'!$G:$G,"0000",2)</f>
        <v>2110.A</v>
      </c>
      <c r="B192" s="38" t="str">
        <f>_xlfn.XLOOKUP(Tabela1[[#This Row],[Processo]],'Árvore de Localização'!$D:$D,'Árvore de Localização'!$B:$B,"",0,1)</f>
        <v>Utilidades</v>
      </c>
      <c r="C192" s="42" t="str">
        <f>_xlfn.XLOOKUP(Tabela1[[#This Row],[Processo]],'Árvore de Localização'!$D:$D,'Árvore de Localização'!$C:$C,"",0,1)</f>
        <v>Estação de Tratamento de Água (ETA)</v>
      </c>
      <c r="D192" s="39" t="s">
        <v>235</v>
      </c>
      <c r="E192" s="19" t="s">
        <v>55</v>
      </c>
      <c r="F192" s="19" t="s">
        <v>43</v>
      </c>
      <c r="G192" s="101"/>
      <c r="H192" s="101"/>
      <c r="I192" s="112"/>
      <c r="J192" s="119"/>
      <c r="K192" s="52" t="str">
        <f>IF(OR(Tabela1[[#This Row],[Replan]]="",Tabela1[[#This Row],[Previsto (LB)]]=""),"",Tabela1[[#This Row],[Previsto (LB)]]-Tabela1[[#This Row],[Replan]])</f>
        <v/>
      </c>
      <c r="L192" s="20" t="s">
        <v>1657</v>
      </c>
      <c r="M192" s="21"/>
      <c r="N192" s="21"/>
      <c r="O192" s="19"/>
      <c r="P192" s="19"/>
      <c r="Q192" s="19"/>
      <c r="R192" s="105"/>
      <c r="S192" s="38">
        <f t="shared" si="10"/>
        <v>3</v>
      </c>
      <c r="T192" s="23"/>
    </row>
    <row r="193" spans="1:20" s="11" customFormat="1" ht="12.5" x14ac:dyDescent="0.35">
      <c r="A193" s="18" t="str">
        <f>_xlfn.XLOOKUP("*"&amp;Tabela1[[#This Row],[Processo]]&amp;"*",'Árvore de Localização'!$H:$H,'Árvore de Localização'!$G:$G,"0000",2)</f>
        <v>2110.A</v>
      </c>
      <c r="B193" s="38" t="str">
        <f>_xlfn.XLOOKUP(Tabela1[[#This Row],[Processo]],'Árvore de Localização'!$D:$D,'Árvore de Localização'!$B:$B,"",0,1)</f>
        <v>Utilidades</v>
      </c>
      <c r="C193" s="42" t="str">
        <f>_xlfn.XLOOKUP(Tabela1[[#This Row],[Processo]],'Árvore de Localização'!$D:$D,'Árvore de Localização'!$C:$C,"",0,1)</f>
        <v>Estação de Tratamento de Água (ETA)</v>
      </c>
      <c r="D193" s="39" t="s">
        <v>235</v>
      </c>
      <c r="E193" s="19" t="s">
        <v>55</v>
      </c>
      <c r="F193" s="19" t="s">
        <v>43</v>
      </c>
      <c r="G193" s="101"/>
      <c r="H193" s="101"/>
      <c r="I193" s="112"/>
      <c r="J193" s="119"/>
      <c r="K193" s="52" t="str">
        <f>IF(OR(Tabela1[[#This Row],[Replan]]="",Tabela1[[#This Row],[Previsto (LB)]]=""),"",Tabela1[[#This Row],[Previsto (LB)]]-Tabela1[[#This Row],[Replan]])</f>
        <v/>
      </c>
      <c r="L193" s="20" t="s">
        <v>1658</v>
      </c>
      <c r="M193" s="21"/>
      <c r="N193" s="21"/>
      <c r="O193" s="19"/>
      <c r="P193" s="19"/>
      <c r="Q193" s="19"/>
      <c r="R193" s="105"/>
      <c r="S193" s="38">
        <f t="shared" si="10"/>
        <v>3</v>
      </c>
      <c r="T193" s="23"/>
    </row>
    <row r="194" spans="1:20" s="11" customFormat="1" ht="12.5" x14ac:dyDescent="0.35">
      <c r="A194" s="18" t="str">
        <f>_xlfn.XLOOKUP("*"&amp;Tabela1[[#This Row],[Processo]]&amp;"*",'Árvore de Localização'!$H:$H,'Árvore de Localização'!$G:$G,"0000",2)</f>
        <v>2110.A</v>
      </c>
      <c r="B194" s="38" t="str">
        <f>_xlfn.XLOOKUP(Tabela1[[#This Row],[Processo]],'Árvore de Localização'!$D:$D,'Árvore de Localização'!$B:$B,"",0,1)</f>
        <v>Utilidades</v>
      </c>
      <c r="C194" s="42" t="str">
        <f>_xlfn.XLOOKUP(Tabela1[[#This Row],[Processo]],'Árvore de Localização'!$D:$D,'Árvore de Localização'!$C:$C,"",0,1)</f>
        <v>Estação de Tratamento de Água (ETA)</v>
      </c>
      <c r="D194" s="39" t="s">
        <v>235</v>
      </c>
      <c r="E194" s="19" t="s">
        <v>56</v>
      </c>
      <c r="F194" s="19" t="s">
        <v>43</v>
      </c>
      <c r="G194" s="101"/>
      <c r="H194" s="101"/>
      <c r="I194" s="112"/>
      <c r="J194" s="119"/>
      <c r="K194" s="52" t="str">
        <f>IF(OR(Tabela1[[#This Row],[Replan]]="",Tabela1[[#This Row],[Previsto (LB)]]=""),"",Tabela1[[#This Row],[Previsto (LB)]]-Tabela1[[#This Row],[Replan]])</f>
        <v/>
      </c>
      <c r="L194" s="20" t="s">
        <v>1669</v>
      </c>
      <c r="M194" s="21"/>
      <c r="N194" s="21"/>
      <c r="O194" s="19"/>
      <c r="P194" s="19"/>
      <c r="Q194" s="19"/>
      <c r="R194" s="105"/>
      <c r="S194" s="38">
        <f t="shared" si="10"/>
        <v>3</v>
      </c>
      <c r="T194" s="23"/>
    </row>
    <row r="195" spans="1:20" s="11" customFormat="1" ht="12.5" x14ac:dyDescent="0.35">
      <c r="A195" s="18" t="str">
        <f>_xlfn.XLOOKUP("*"&amp;Tabela1[[#This Row],[Processo]]&amp;"*",'Árvore de Localização'!$H:$H,'Árvore de Localização'!$G:$G,"0000",2)</f>
        <v>2110.A</v>
      </c>
      <c r="B195" s="38" t="str">
        <f>_xlfn.XLOOKUP(Tabela1[[#This Row],[Processo]],'Árvore de Localização'!$D:$D,'Árvore de Localização'!$B:$B,"",0,1)</f>
        <v>Utilidades</v>
      </c>
      <c r="C195" s="42" t="str">
        <f>_xlfn.XLOOKUP(Tabela1[[#This Row],[Processo]],'Árvore de Localização'!$D:$D,'Árvore de Localização'!$C:$C,"",0,1)</f>
        <v>Estação de Tratamento de Água (ETA)</v>
      </c>
      <c r="D195" s="39" t="s">
        <v>235</v>
      </c>
      <c r="E195" s="19" t="s">
        <v>56</v>
      </c>
      <c r="F195" s="19" t="s">
        <v>43</v>
      </c>
      <c r="G195" s="101"/>
      <c r="H195" s="101"/>
      <c r="I195" s="112"/>
      <c r="J195" s="119"/>
      <c r="K195" s="52" t="str">
        <f>IF(OR(Tabela1[[#This Row],[Replan]]="",Tabela1[[#This Row],[Previsto (LB)]]=""),"",Tabela1[[#This Row],[Previsto (LB)]]-Tabela1[[#This Row],[Replan]])</f>
        <v/>
      </c>
      <c r="L195" s="20" t="s">
        <v>1670</v>
      </c>
      <c r="M195" s="21"/>
      <c r="N195" s="21"/>
      <c r="O195" s="19"/>
      <c r="P195" s="19"/>
      <c r="Q195" s="19"/>
      <c r="R195" s="105"/>
      <c r="S195" s="38">
        <f t="shared" ref="S195:S276" si="15">IF(R195="Não iniciado",1,IF(R195="Em andamento",2,3))</f>
        <v>3</v>
      </c>
      <c r="T195" s="23"/>
    </row>
    <row r="196" spans="1:20" s="11" customFormat="1" ht="12.5" x14ac:dyDescent="0.35">
      <c r="A196" s="18" t="str">
        <f>_xlfn.XLOOKUP("*"&amp;Tabela1[[#This Row],[Processo]]&amp;"*",'Árvore de Localização'!$H:$H,'Árvore de Localização'!$G:$G,"0000",2)</f>
        <v>2110.A</v>
      </c>
      <c r="B196" s="38" t="str">
        <f>_xlfn.XLOOKUP(Tabela1[[#This Row],[Processo]],'Árvore de Localização'!$D:$D,'Árvore de Localização'!$B:$B,"",0,1)</f>
        <v>Utilidades</v>
      </c>
      <c r="C196" s="42" t="str">
        <f>_xlfn.XLOOKUP(Tabela1[[#This Row],[Processo]],'Árvore de Localização'!$D:$D,'Árvore de Localização'!$C:$C,"",0,1)</f>
        <v>Estação de Tratamento de Água (ETA)</v>
      </c>
      <c r="D196" s="39" t="s">
        <v>235</v>
      </c>
      <c r="E196" s="19" t="s">
        <v>56</v>
      </c>
      <c r="F196" s="19" t="s">
        <v>43</v>
      </c>
      <c r="G196" s="101"/>
      <c r="H196" s="101"/>
      <c r="I196" s="112"/>
      <c r="J196" s="119"/>
      <c r="K196" s="52" t="str">
        <f>IF(OR(Tabela1[[#This Row],[Replan]]="",Tabela1[[#This Row],[Previsto (LB)]]=""),"",Tabela1[[#This Row],[Previsto (LB)]]-Tabela1[[#This Row],[Replan]])</f>
        <v/>
      </c>
      <c r="L196" s="20" t="s">
        <v>1659</v>
      </c>
      <c r="M196" s="21"/>
      <c r="N196" s="25"/>
      <c r="O196" s="19"/>
      <c r="P196" s="19"/>
      <c r="Q196" s="19"/>
      <c r="R196" s="105"/>
      <c r="S196" s="38">
        <f t="shared" si="15"/>
        <v>3</v>
      </c>
      <c r="T196" s="23"/>
    </row>
    <row r="197" spans="1:20" s="11" customFormat="1" ht="12.5" x14ac:dyDescent="0.35">
      <c r="A197" s="18" t="str">
        <f>_xlfn.XLOOKUP("*"&amp;Tabela1[[#This Row],[Processo]]&amp;"*",'Árvore de Localização'!$H:$H,'Árvore de Localização'!$G:$G,"0000",2)</f>
        <v>2110.A</v>
      </c>
      <c r="B197" s="38" t="str">
        <f>_xlfn.XLOOKUP(Tabela1[[#This Row],[Processo]],'Árvore de Localização'!$D:$D,'Árvore de Localização'!$B:$B,"",0,1)</f>
        <v>Utilidades</v>
      </c>
      <c r="C197" s="42" t="str">
        <f>_xlfn.XLOOKUP(Tabela1[[#This Row],[Processo]],'Árvore de Localização'!$D:$D,'Árvore de Localização'!$C:$C,"",0,1)</f>
        <v>Estação de Tratamento de Água (ETA)</v>
      </c>
      <c r="D197" s="39" t="s">
        <v>235</v>
      </c>
      <c r="E197" s="19" t="s">
        <v>56</v>
      </c>
      <c r="F197" s="19" t="s">
        <v>43</v>
      </c>
      <c r="G197" s="101"/>
      <c r="H197" s="101"/>
      <c r="I197" s="112"/>
      <c r="J197" s="119"/>
      <c r="K197" s="52" t="str">
        <f>IF(OR(Tabela1[[#This Row],[Replan]]="",Tabela1[[#This Row],[Previsto (LB)]]=""),"",Tabela1[[#This Row],[Previsto (LB)]]-Tabela1[[#This Row],[Replan]])</f>
        <v/>
      </c>
      <c r="L197" s="20" t="s">
        <v>1660</v>
      </c>
      <c r="M197" s="21"/>
      <c r="N197" s="21"/>
      <c r="O197" s="19"/>
      <c r="P197" s="19"/>
      <c r="Q197" s="19"/>
      <c r="R197" s="105"/>
      <c r="S197" s="38">
        <f t="shared" si="15"/>
        <v>3</v>
      </c>
      <c r="T197" s="23"/>
    </row>
    <row r="198" spans="1:20" s="11" customFormat="1" ht="12.5" x14ac:dyDescent="0.35">
      <c r="A198" s="18" t="str">
        <f>_xlfn.XLOOKUP("*"&amp;Tabela1[[#This Row],[Processo]]&amp;"*",'Árvore de Localização'!$H:$H,'Árvore de Localização'!$G:$G,"0000",2)</f>
        <v>2110.A</v>
      </c>
      <c r="B198" s="38" t="str">
        <f>_xlfn.XLOOKUP(Tabela1[[#This Row],[Processo]],'Árvore de Localização'!$D:$D,'Árvore de Localização'!$B:$B,"",0,1)</f>
        <v>Utilidades</v>
      </c>
      <c r="C198" s="42" t="str">
        <f>_xlfn.XLOOKUP(Tabela1[[#This Row],[Processo]],'Árvore de Localização'!$D:$D,'Árvore de Localização'!$C:$C,"",0,1)</f>
        <v>Estação de Tratamento de Água (ETA)</v>
      </c>
      <c r="D198" s="39" t="s">
        <v>235</v>
      </c>
      <c r="E198" s="19" t="s">
        <v>56</v>
      </c>
      <c r="F198" s="19" t="s">
        <v>43</v>
      </c>
      <c r="G198" s="101"/>
      <c r="H198" s="101"/>
      <c r="I198" s="112"/>
      <c r="J198" s="119"/>
      <c r="K198" s="52" t="str">
        <f>IF(OR(Tabela1[[#This Row],[Replan]]="",Tabela1[[#This Row],[Previsto (LB)]]=""),"",Tabela1[[#This Row],[Previsto (LB)]]-Tabela1[[#This Row],[Replan]])</f>
        <v/>
      </c>
      <c r="L198" s="20" t="s">
        <v>1661</v>
      </c>
      <c r="M198" s="21"/>
      <c r="N198" s="21"/>
      <c r="O198" s="19"/>
      <c r="P198" s="19"/>
      <c r="Q198" s="19"/>
      <c r="R198" s="105"/>
      <c r="S198" s="38">
        <f t="shared" si="15"/>
        <v>3</v>
      </c>
      <c r="T198" s="23"/>
    </row>
    <row r="199" spans="1:20" s="11" customFormat="1" ht="12.5" x14ac:dyDescent="0.35">
      <c r="A199" s="18" t="str">
        <f>_xlfn.XLOOKUP("*"&amp;Tabela1[[#This Row],[Processo]]&amp;"*",'Árvore de Localização'!$H:$H,'Árvore de Localização'!$G:$G,"0000",2)</f>
        <v>2110.A</v>
      </c>
      <c r="B199" s="38" t="str">
        <f>_xlfn.XLOOKUP(Tabela1[[#This Row],[Processo]],'Árvore de Localização'!$D:$D,'Árvore de Localização'!$B:$B,"",0,1)</f>
        <v>Utilidades</v>
      </c>
      <c r="C199" s="42" t="str">
        <f>_xlfn.XLOOKUP(Tabela1[[#This Row],[Processo]],'Árvore de Localização'!$D:$D,'Árvore de Localização'!$C:$C,"",0,1)</f>
        <v>Estação de Tratamento de Água (ETA)</v>
      </c>
      <c r="D199" s="39" t="s">
        <v>235</v>
      </c>
      <c r="E199" s="19" t="s">
        <v>56</v>
      </c>
      <c r="F199" s="19" t="s">
        <v>43</v>
      </c>
      <c r="G199" s="101"/>
      <c r="H199" s="101"/>
      <c r="I199" s="112"/>
      <c r="J199" s="119"/>
      <c r="K199" s="52" t="str">
        <f>IF(OR(Tabela1[[#This Row],[Replan]]="",Tabela1[[#This Row],[Previsto (LB)]]=""),"",Tabela1[[#This Row],[Previsto (LB)]]-Tabela1[[#This Row],[Replan]])</f>
        <v/>
      </c>
      <c r="L199" s="20" t="s">
        <v>1662</v>
      </c>
      <c r="M199" s="21"/>
      <c r="N199" s="21"/>
      <c r="O199" s="19"/>
      <c r="P199" s="19"/>
      <c r="Q199" s="19"/>
      <c r="R199" s="105"/>
      <c r="S199" s="38">
        <f t="shared" si="15"/>
        <v>3</v>
      </c>
      <c r="T199" s="23"/>
    </row>
    <row r="200" spans="1:20" s="11" customFormat="1" ht="12.5" x14ac:dyDescent="0.35">
      <c r="A200" s="18" t="str">
        <f>_xlfn.XLOOKUP("*"&amp;Tabela1[[#This Row],[Processo]]&amp;"*",'Árvore de Localização'!$H:$H,'Árvore de Localização'!$G:$G,"0000",2)</f>
        <v>2110.A</v>
      </c>
      <c r="B200" s="38" t="str">
        <f>_xlfn.XLOOKUP(Tabela1[[#This Row],[Processo]],'Árvore de Localização'!$D:$D,'Árvore de Localização'!$B:$B,"",0,1)</f>
        <v>Utilidades</v>
      </c>
      <c r="C200" s="42" t="str">
        <f>_xlfn.XLOOKUP(Tabela1[[#This Row],[Processo]],'Árvore de Localização'!$D:$D,'Árvore de Localização'!$C:$C,"",0,1)</f>
        <v>Estação de Tratamento de Água (ETA)</v>
      </c>
      <c r="D200" s="39" t="s">
        <v>235</v>
      </c>
      <c r="E200" s="19" t="s">
        <v>56</v>
      </c>
      <c r="F200" s="19" t="s">
        <v>43</v>
      </c>
      <c r="G200" s="101"/>
      <c r="H200" s="101"/>
      <c r="I200" s="112"/>
      <c r="J200" s="119"/>
      <c r="K200" s="52" t="str">
        <f>IF(OR(Tabela1[[#This Row],[Replan]]="",Tabela1[[#This Row],[Previsto (LB)]]=""),"",Tabela1[[#This Row],[Previsto (LB)]]-Tabela1[[#This Row],[Replan]])</f>
        <v/>
      </c>
      <c r="L200" s="20" t="s">
        <v>1663</v>
      </c>
      <c r="M200" s="21"/>
      <c r="N200" s="21"/>
      <c r="O200" s="19"/>
      <c r="P200" s="19"/>
      <c r="Q200" s="19"/>
      <c r="R200" s="105"/>
      <c r="S200" s="38">
        <f t="shared" si="15"/>
        <v>3</v>
      </c>
      <c r="T200" s="23"/>
    </row>
    <row r="201" spans="1:20" s="11" customFormat="1" ht="12.5" x14ac:dyDescent="0.35">
      <c r="A201" s="18" t="str">
        <f>_xlfn.XLOOKUP("*"&amp;Tabela1[[#This Row],[Processo]]&amp;"*",'Árvore de Localização'!$H:$H,'Árvore de Localização'!$G:$G,"0000",2)</f>
        <v>2110.A</v>
      </c>
      <c r="B201" s="38" t="str">
        <f>_xlfn.XLOOKUP(Tabela1[[#This Row],[Processo]],'Árvore de Localização'!$D:$D,'Árvore de Localização'!$B:$B,"",0,1)</f>
        <v>Utilidades</v>
      </c>
      <c r="C201" s="42" t="str">
        <f>_xlfn.XLOOKUP(Tabela1[[#This Row],[Processo]],'Árvore de Localização'!$D:$D,'Árvore de Localização'!$C:$C,"",0,1)</f>
        <v>Estação de Tratamento de Água (ETA)</v>
      </c>
      <c r="D201" s="39" t="s">
        <v>235</v>
      </c>
      <c r="E201" s="19" t="s">
        <v>57</v>
      </c>
      <c r="F201" s="19" t="s">
        <v>43</v>
      </c>
      <c r="G201" s="101"/>
      <c r="H201" s="101"/>
      <c r="I201" s="112"/>
      <c r="J201" s="119"/>
      <c r="K201" s="52" t="str">
        <f>IF(OR(Tabela1[[#This Row],[Replan]]="",Tabela1[[#This Row],[Previsto (LB)]]=""),"",Tabela1[[#This Row],[Previsto (LB)]]-Tabela1[[#This Row],[Replan]])</f>
        <v/>
      </c>
      <c r="L201" s="20" t="s">
        <v>1671</v>
      </c>
      <c r="M201" s="21"/>
      <c r="N201" s="21"/>
      <c r="O201" s="19"/>
      <c r="P201" s="19"/>
      <c r="Q201" s="19"/>
      <c r="R201" s="105"/>
      <c r="S201" s="38">
        <f t="shared" si="15"/>
        <v>3</v>
      </c>
      <c r="T201" s="23"/>
    </row>
    <row r="202" spans="1:20" s="11" customFormat="1" ht="12.5" x14ac:dyDescent="0.35">
      <c r="A202" s="18" t="str">
        <f>_xlfn.XLOOKUP("*"&amp;Tabela1[[#This Row],[Processo]]&amp;"*",'Árvore de Localização'!$H:$H,'Árvore de Localização'!$G:$G,"0000",2)</f>
        <v>2110.A</v>
      </c>
      <c r="B202" s="38" t="str">
        <f>_xlfn.XLOOKUP(Tabela1[[#This Row],[Processo]],'Árvore de Localização'!$D:$D,'Árvore de Localização'!$B:$B,"",0,1)</f>
        <v>Utilidades</v>
      </c>
      <c r="C202" s="42" t="str">
        <f>_xlfn.XLOOKUP(Tabela1[[#This Row],[Processo]],'Árvore de Localização'!$D:$D,'Árvore de Localização'!$C:$C,"",0,1)</f>
        <v>Estação de Tratamento de Água (ETA)</v>
      </c>
      <c r="D202" s="39" t="s">
        <v>235</v>
      </c>
      <c r="E202" s="19" t="s">
        <v>57</v>
      </c>
      <c r="F202" s="19" t="s">
        <v>43</v>
      </c>
      <c r="G202" s="101"/>
      <c r="H202" s="101"/>
      <c r="I202" s="112"/>
      <c r="J202" s="119"/>
      <c r="K202" s="52" t="str">
        <f>IF(OR(Tabela1[[#This Row],[Replan]]="",Tabela1[[#This Row],[Previsto (LB)]]=""),"",Tabela1[[#This Row],[Previsto (LB)]]-Tabela1[[#This Row],[Replan]])</f>
        <v/>
      </c>
      <c r="L202" s="20" t="s">
        <v>1672</v>
      </c>
      <c r="M202" s="21"/>
      <c r="N202" s="21"/>
      <c r="O202" s="19"/>
      <c r="P202" s="19"/>
      <c r="Q202" s="19"/>
      <c r="R202" s="105"/>
      <c r="S202" s="38">
        <f t="shared" si="15"/>
        <v>3</v>
      </c>
      <c r="T202" s="23"/>
    </row>
    <row r="203" spans="1:20" s="11" customFormat="1" ht="12.5" x14ac:dyDescent="0.35">
      <c r="A203" s="18" t="str">
        <f>_xlfn.XLOOKUP("*"&amp;Tabela1[[#This Row],[Processo]]&amp;"*",'Árvore de Localização'!$H:$H,'Árvore de Localização'!$G:$G,"0000",2)</f>
        <v>2110.A</v>
      </c>
      <c r="B203" s="38" t="str">
        <f>_xlfn.XLOOKUP(Tabela1[[#This Row],[Processo]],'Árvore de Localização'!$D:$D,'Árvore de Localização'!$B:$B,"",0,1)</f>
        <v>Utilidades</v>
      </c>
      <c r="C203" s="42" t="str">
        <f>_xlfn.XLOOKUP(Tabela1[[#This Row],[Processo]],'Árvore de Localização'!$D:$D,'Árvore de Localização'!$C:$C,"",0,1)</f>
        <v>Estação de Tratamento de Água (ETA)</v>
      </c>
      <c r="D203" s="39" t="s">
        <v>235</v>
      </c>
      <c r="E203" s="19" t="s">
        <v>57</v>
      </c>
      <c r="F203" s="19" t="s">
        <v>43</v>
      </c>
      <c r="G203" s="101"/>
      <c r="H203" s="101"/>
      <c r="I203" s="112"/>
      <c r="J203" s="119"/>
      <c r="K203" s="52" t="str">
        <f>IF(OR(Tabela1[[#This Row],[Replan]]="",Tabela1[[#This Row],[Previsto (LB)]]=""),"",Tabela1[[#This Row],[Previsto (LB)]]-Tabela1[[#This Row],[Replan]])</f>
        <v/>
      </c>
      <c r="L203" s="20" t="s">
        <v>1664</v>
      </c>
      <c r="M203" s="21"/>
      <c r="N203" s="25"/>
      <c r="O203" s="19"/>
      <c r="P203" s="19"/>
      <c r="Q203" s="19"/>
      <c r="R203" s="105"/>
      <c r="S203" s="38">
        <f t="shared" si="15"/>
        <v>3</v>
      </c>
      <c r="T203" s="23"/>
    </row>
    <row r="204" spans="1:20" s="11" customFormat="1" ht="12.5" x14ac:dyDescent="0.35">
      <c r="A204" s="18" t="str">
        <f>_xlfn.XLOOKUP("*"&amp;Tabela1[[#This Row],[Processo]]&amp;"*",'Árvore de Localização'!$H:$H,'Árvore de Localização'!$G:$G,"0000",2)</f>
        <v>2110.A</v>
      </c>
      <c r="B204" s="38" t="str">
        <f>_xlfn.XLOOKUP(Tabela1[[#This Row],[Processo]],'Árvore de Localização'!$D:$D,'Árvore de Localização'!$B:$B,"",0,1)</f>
        <v>Utilidades</v>
      </c>
      <c r="C204" s="42" t="str">
        <f>_xlfn.XLOOKUP(Tabela1[[#This Row],[Processo]],'Árvore de Localização'!$D:$D,'Árvore de Localização'!$C:$C,"",0,1)</f>
        <v>Estação de Tratamento de Água (ETA)</v>
      </c>
      <c r="D204" s="39" t="s">
        <v>235</v>
      </c>
      <c r="E204" s="19" t="s">
        <v>57</v>
      </c>
      <c r="F204" s="19" t="s">
        <v>43</v>
      </c>
      <c r="G204" s="101"/>
      <c r="H204" s="101"/>
      <c r="I204" s="112"/>
      <c r="J204" s="119"/>
      <c r="K204" s="52" t="str">
        <f>IF(OR(Tabela1[[#This Row],[Replan]]="",Tabela1[[#This Row],[Previsto (LB)]]=""),"",Tabela1[[#This Row],[Previsto (LB)]]-Tabela1[[#This Row],[Replan]])</f>
        <v/>
      </c>
      <c r="L204" s="20" t="s">
        <v>1665</v>
      </c>
      <c r="M204" s="21"/>
      <c r="N204" s="21"/>
      <c r="O204" s="19"/>
      <c r="P204" s="19"/>
      <c r="Q204" s="19"/>
      <c r="R204" s="105"/>
      <c r="S204" s="38">
        <f t="shared" si="15"/>
        <v>3</v>
      </c>
      <c r="T204" s="23"/>
    </row>
    <row r="205" spans="1:20" s="11" customFormat="1" ht="12.5" x14ac:dyDescent="0.35">
      <c r="A205" s="18" t="str">
        <f>_xlfn.XLOOKUP("*"&amp;Tabela1[[#This Row],[Processo]]&amp;"*",'Árvore de Localização'!$H:$H,'Árvore de Localização'!$G:$G,"0000",2)</f>
        <v>2110.A</v>
      </c>
      <c r="B205" s="38" t="str">
        <f>_xlfn.XLOOKUP(Tabela1[[#This Row],[Processo]],'Árvore de Localização'!$D:$D,'Árvore de Localização'!$B:$B,"",0,1)</f>
        <v>Utilidades</v>
      </c>
      <c r="C205" s="42" t="str">
        <f>_xlfn.XLOOKUP(Tabela1[[#This Row],[Processo]],'Árvore de Localização'!$D:$D,'Árvore de Localização'!$C:$C,"",0,1)</f>
        <v>Estação de Tratamento de Água (ETA)</v>
      </c>
      <c r="D205" s="39" t="s">
        <v>235</v>
      </c>
      <c r="E205" s="19" t="s">
        <v>57</v>
      </c>
      <c r="F205" s="19" t="s">
        <v>43</v>
      </c>
      <c r="G205" s="101"/>
      <c r="H205" s="101"/>
      <c r="I205" s="112"/>
      <c r="J205" s="119"/>
      <c r="K205" s="52" t="str">
        <f>IF(OR(Tabela1[[#This Row],[Replan]]="",Tabela1[[#This Row],[Previsto (LB)]]=""),"",Tabela1[[#This Row],[Previsto (LB)]]-Tabela1[[#This Row],[Replan]])</f>
        <v/>
      </c>
      <c r="L205" s="20" t="s">
        <v>1666</v>
      </c>
      <c r="M205" s="21"/>
      <c r="N205" s="21"/>
      <c r="O205" s="19"/>
      <c r="P205" s="19"/>
      <c r="Q205" s="19"/>
      <c r="R205" s="105"/>
      <c r="S205" s="38">
        <f t="shared" si="15"/>
        <v>3</v>
      </c>
      <c r="T205" s="23"/>
    </row>
    <row r="206" spans="1:20" s="11" customFormat="1" ht="12.5" x14ac:dyDescent="0.35">
      <c r="A206" s="18" t="str">
        <f>_xlfn.XLOOKUP("*"&amp;Tabela1[[#This Row],[Processo]]&amp;"*",'Árvore de Localização'!$H:$H,'Árvore de Localização'!$G:$G,"0000",2)</f>
        <v>2110.A</v>
      </c>
      <c r="B206" s="38" t="str">
        <f>_xlfn.XLOOKUP(Tabela1[[#This Row],[Processo]],'Árvore de Localização'!$D:$D,'Árvore de Localização'!$B:$B,"",0,1)</f>
        <v>Utilidades</v>
      </c>
      <c r="C206" s="42" t="str">
        <f>_xlfn.XLOOKUP(Tabela1[[#This Row],[Processo]],'Árvore de Localização'!$D:$D,'Árvore de Localização'!$C:$C,"",0,1)</f>
        <v>Estação de Tratamento de Água (ETA)</v>
      </c>
      <c r="D206" s="39" t="s">
        <v>235</v>
      </c>
      <c r="E206" s="19" t="s">
        <v>57</v>
      </c>
      <c r="F206" s="19" t="s">
        <v>43</v>
      </c>
      <c r="G206" s="101"/>
      <c r="H206" s="101"/>
      <c r="I206" s="112"/>
      <c r="J206" s="119"/>
      <c r="K206" s="52" t="str">
        <f>IF(OR(Tabela1[[#This Row],[Replan]]="",Tabela1[[#This Row],[Previsto (LB)]]=""),"",Tabela1[[#This Row],[Previsto (LB)]]-Tabela1[[#This Row],[Replan]])</f>
        <v/>
      </c>
      <c r="L206" s="20" t="s">
        <v>1667</v>
      </c>
      <c r="M206" s="21"/>
      <c r="N206" s="21"/>
      <c r="O206" s="19"/>
      <c r="P206" s="19"/>
      <c r="Q206" s="19"/>
      <c r="R206" s="105"/>
      <c r="S206" s="38">
        <f t="shared" si="15"/>
        <v>3</v>
      </c>
      <c r="T206" s="23"/>
    </row>
    <row r="207" spans="1:20" s="11" customFormat="1" ht="12.5" x14ac:dyDescent="0.35">
      <c r="A207" s="18" t="str">
        <f>_xlfn.XLOOKUP("*"&amp;Tabela1[[#This Row],[Processo]]&amp;"*",'Árvore de Localização'!$H:$H,'Árvore de Localização'!$G:$G,"0000",2)</f>
        <v>2110.A</v>
      </c>
      <c r="B207" s="38" t="str">
        <f>_xlfn.XLOOKUP(Tabela1[[#This Row],[Processo]],'Árvore de Localização'!$D:$D,'Árvore de Localização'!$B:$B,"",0,1)</f>
        <v>Utilidades</v>
      </c>
      <c r="C207" s="42" t="str">
        <f>_xlfn.XLOOKUP(Tabela1[[#This Row],[Processo]],'Árvore de Localização'!$D:$D,'Árvore de Localização'!$C:$C,"",0,1)</f>
        <v>Estação de Tratamento de Água (ETA)</v>
      </c>
      <c r="D207" s="39" t="s">
        <v>235</v>
      </c>
      <c r="E207" s="19" t="s">
        <v>57</v>
      </c>
      <c r="F207" s="19" t="s">
        <v>43</v>
      </c>
      <c r="G207" s="101"/>
      <c r="H207" s="101"/>
      <c r="I207" s="112"/>
      <c r="J207" s="119"/>
      <c r="K207" s="52" t="str">
        <f>IF(OR(Tabela1[[#This Row],[Replan]]="",Tabela1[[#This Row],[Previsto (LB)]]=""),"",Tabela1[[#This Row],[Previsto (LB)]]-Tabela1[[#This Row],[Replan]])</f>
        <v/>
      </c>
      <c r="L207" s="20" t="s">
        <v>1668</v>
      </c>
      <c r="M207" s="21"/>
      <c r="N207" s="21"/>
      <c r="O207" s="19"/>
      <c r="P207" s="19"/>
      <c r="Q207" s="19"/>
      <c r="R207" s="105"/>
      <c r="S207" s="38">
        <f t="shared" si="15"/>
        <v>3</v>
      </c>
      <c r="T207" s="23"/>
    </row>
    <row r="208" spans="1:20" s="11" customFormat="1" ht="12.5" x14ac:dyDescent="0.35">
      <c r="A208" s="18" t="str">
        <f>_xlfn.XLOOKUP("*"&amp;Tabela1[[#This Row],[Processo]]&amp;"*",'Árvore de Localização'!$H:$H,'Árvore de Localização'!$G:$G,"0000",2)</f>
        <v>2100.C</v>
      </c>
      <c r="B208" s="38" t="str">
        <f>_xlfn.XLOOKUP(Tabela1[[#This Row],[Processo]],'Árvore de Localização'!$D:$D,'Árvore de Localização'!$B:$B,"",0,1)</f>
        <v>Geral</v>
      </c>
      <c r="C208" s="42" t="str">
        <f>_xlfn.XLOOKUP(Tabela1[[#This Row],[Processo]],'Árvore de Localização'!$D:$D,'Árvore de Localização'!$C:$C,"",0,1)</f>
        <v>Geral</v>
      </c>
      <c r="D208" s="39" t="s">
        <v>49</v>
      </c>
      <c r="E208" s="19" t="s">
        <v>49</v>
      </c>
      <c r="F208" s="19" t="s">
        <v>43</v>
      </c>
      <c r="G208" s="101"/>
      <c r="H208" s="101"/>
      <c r="I208" s="112"/>
      <c r="J208" s="119"/>
      <c r="K208" s="52" t="str">
        <f>IF(OR(Tabela1[[#This Row],[Replan]]="",Tabela1[[#This Row],[Previsto (LB)]]=""),"",Tabela1[[#This Row],[Previsto (LB)]]-Tabela1[[#This Row],[Replan]])</f>
        <v/>
      </c>
      <c r="L208" s="20" t="s">
        <v>401</v>
      </c>
      <c r="M208" s="21"/>
      <c r="N208" s="21"/>
      <c r="O208" s="19"/>
      <c r="P208" s="19"/>
      <c r="Q208" s="19"/>
      <c r="R208" s="105"/>
      <c r="S208" s="38">
        <f t="shared" si="15"/>
        <v>3</v>
      </c>
      <c r="T208" s="23"/>
    </row>
    <row r="209" spans="1:23" s="11" customFormat="1" ht="12.5" x14ac:dyDescent="0.35">
      <c r="A209" s="18" t="str">
        <f>_xlfn.XLOOKUP("*"&amp;Tabela1[[#This Row],[Processo]]&amp;"*",'Árvore de Localização'!$H:$H,'Árvore de Localização'!$G:$G,"0000",2)</f>
        <v>2100.C</v>
      </c>
      <c r="B209" s="38" t="str">
        <f>_xlfn.XLOOKUP(Tabela1[[#This Row],[Processo]],'Árvore de Localização'!$D:$D,'Árvore de Localização'!$B:$B,"",0,1)</f>
        <v>Geral</v>
      </c>
      <c r="C209" s="42" t="str">
        <f>_xlfn.XLOOKUP(Tabela1[[#This Row],[Processo]],'Árvore de Localização'!$D:$D,'Árvore de Localização'!$C:$C,"",0,1)</f>
        <v>Geral</v>
      </c>
      <c r="D209" s="39" t="s">
        <v>49</v>
      </c>
      <c r="E209" s="19" t="s">
        <v>49</v>
      </c>
      <c r="F209" s="19" t="s">
        <v>43</v>
      </c>
      <c r="G209" s="101"/>
      <c r="H209" s="101"/>
      <c r="I209" s="112"/>
      <c r="J209" s="119"/>
      <c r="K209" s="52" t="str">
        <f>IF(OR(Tabela1[[#This Row],[Replan]]="",Tabela1[[#This Row],[Previsto (LB)]]=""),"",Tabela1[[#This Row],[Previsto (LB)]]-Tabela1[[#This Row],[Replan]])</f>
        <v/>
      </c>
      <c r="L209" s="20" t="s">
        <v>402</v>
      </c>
      <c r="M209" s="21"/>
      <c r="N209" s="21"/>
      <c r="O209" s="19"/>
      <c r="P209" s="19"/>
      <c r="Q209" s="19"/>
      <c r="R209" s="105"/>
      <c r="S209" s="38">
        <f>IF(R209="Não iniciado",1,IF(R209="Em andamento",2,3))</f>
        <v>3</v>
      </c>
      <c r="T209" s="27"/>
    </row>
    <row r="210" spans="1:23" s="11" customFormat="1" ht="12.5" x14ac:dyDescent="0.35">
      <c r="A210" s="18" t="str">
        <f>_xlfn.XLOOKUP("*"&amp;Tabela1[[#This Row],[Processo]]&amp;"*",'Árvore de Localização'!$H:$H,'Árvore de Localização'!$G:$G,"0000",2)</f>
        <v>2121.A</v>
      </c>
      <c r="B210" s="38" t="str">
        <f>_xlfn.XLOOKUP(Tabela1[[#This Row],[Processo]],'Árvore de Localização'!$D:$D,'Árvore de Localização'!$B:$B,"",0,1)</f>
        <v>Utilidades</v>
      </c>
      <c r="C210" s="42" t="str">
        <f>_xlfn.XLOOKUP(Tabela1[[#This Row],[Processo]],'Árvore de Localização'!$D:$D,'Árvore de Localização'!$C:$C,"",0,1)</f>
        <v>Sistema de Geração de Ar Comprimido</v>
      </c>
      <c r="D210" s="39" t="s">
        <v>232</v>
      </c>
      <c r="E210" s="19" t="s">
        <v>46</v>
      </c>
      <c r="F210" s="19" t="s">
        <v>43</v>
      </c>
      <c r="G210" s="101"/>
      <c r="H210" s="101"/>
      <c r="I210" s="112"/>
      <c r="J210" s="119"/>
      <c r="K210" s="52" t="str">
        <f>IF(OR(Tabela1[[#This Row],[Replan]]="",Tabela1[[#This Row],[Previsto (LB)]]=""),"",Tabela1[[#This Row],[Previsto (LB)]]-Tabela1[[#This Row],[Replan]])</f>
        <v/>
      </c>
      <c r="L210" s="20" t="s">
        <v>984</v>
      </c>
      <c r="M210" s="21"/>
      <c r="N210" s="21"/>
      <c r="O210" s="19"/>
      <c r="P210" s="19"/>
      <c r="Q210" s="19"/>
      <c r="R210" s="105"/>
      <c r="S210" s="38">
        <f t="shared" si="15"/>
        <v>3</v>
      </c>
      <c r="T210" s="26"/>
      <c r="U210" s="13"/>
      <c r="V210" s="13"/>
      <c r="W210" s="13"/>
    </row>
    <row r="211" spans="1:23" s="11" customFormat="1" ht="12.5" x14ac:dyDescent="0.35">
      <c r="A211" s="18" t="str">
        <f>_xlfn.XLOOKUP("*"&amp;Tabela1[[#This Row],[Processo]]&amp;"*",'Árvore de Localização'!$H:$H,'Árvore de Localização'!$G:$G,"0000",2)</f>
        <v>2121.A</v>
      </c>
      <c r="B211" s="38" t="str">
        <f>_xlfn.XLOOKUP(Tabela1[[#This Row],[Processo]],'Árvore de Localização'!$D:$D,'Árvore de Localização'!$B:$B,"",0,1)</f>
        <v>Utilidades</v>
      </c>
      <c r="C211" s="42" t="str">
        <f>_xlfn.XLOOKUP(Tabela1[[#This Row],[Processo]],'Árvore de Localização'!$D:$D,'Árvore de Localização'!$C:$C,"",0,1)</f>
        <v>Sistema de Geração de Ar Comprimido</v>
      </c>
      <c r="D211" s="39" t="s">
        <v>232</v>
      </c>
      <c r="E211" s="19" t="s">
        <v>46</v>
      </c>
      <c r="F211" s="19" t="s">
        <v>43</v>
      </c>
      <c r="G211" s="101"/>
      <c r="H211" s="101"/>
      <c r="I211" s="112"/>
      <c r="J211" s="119"/>
      <c r="K211" s="52" t="str">
        <f>IF(OR(Tabela1[[#This Row],[Replan]]="",Tabela1[[#This Row],[Previsto (LB)]]=""),"",Tabela1[[#This Row],[Previsto (LB)]]-Tabela1[[#This Row],[Replan]])</f>
        <v/>
      </c>
      <c r="L211" s="20" t="s">
        <v>985</v>
      </c>
      <c r="M211" s="21"/>
      <c r="N211" s="21"/>
      <c r="O211" s="19"/>
      <c r="P211" s="19"/>
      <c r="Q211" s="19"/>
      <c r="R211" s="105"/>
      <c r="S211" s="38">
        <f t="shared" si="15"/>
        <v>3</v>
      </c>
      <c r="T211" s="26"/>
      <c r="U211" s="13"/>
      <c r="V211" s="13"/>
      <c r="W211" s="13"/>
    </row>
    <row r="212" spans="1:23" s="11" customFormat="1" ht="12.5" x14ac:dyDescent="0.35">
      <c r="A212" s="18" t="str">
        <f>_xlfn.XLOOKUP("*"&amp;Tabela1[[#This Row],[Processo]]&amp;"*",'Árvore de Localização'!$H:$H,'Árvore de Localização'!$G:$G,"0000",2)</f>
        <v>2121.A</v>
      </c>
      <c r="B212" s="38" t="str">
        <f>_xlfn.XLOOKUP(Tabela1[[#This Row],[Processo]],'Árvore de Localização'!$D:$D,'Árvore de Localização'!$B:$B,"",0,1)</f>
        <v>Utilidades</v>
      </c>
      <c r="C212" s="42" t="str">
        <f>_xlfn.XLOOKUP(Tabela1[[#This Row],[Processo]],'Árvore de Localização'!$D:$D,'Árvore de Localização'!$C:$C,"",0,1)</f>
        <v>Sistema de Geração de Ar Comprimido</v>
      </c>
      <c r="D212" s="39" t="s">
        <v>232</v>
      </c>
      <c r="E212" s="19" t="s">
        <v>46</v>
      </c>
      <c r="F212" s="19" t="s">
        <v>43</v>
      </c>
      <c r="G212" s="101"/>
      <c r="H212" s="101"/>
      <c r="I212" s="112"/>
      <c r="J212" s="119"/>
      <c r="K212" s="52" t="str">
        <f>IF(OR(Tabela1[[#This Row],[Replan]]="",Tabela1[[#This Row],[Previsto (LB)]]=""),"",Tabela1[[#This Row],[Previsto (LB)]]-Tabela1[[#This Row],[Replan]])</f>
        <v/>
      </c>
      <c r="L212" s="20" t="s">
        <v>993</v>
      </c>
      <c r="M212" s="21"/>
      <c r="N212" s="21"/>
      <c r="O212" s="19"/>
      <c r="P212" s="19"/>
      <c r="Q212" s="19"/>
      <c r="R212" s="105"/>
      <c r="S212" s="38">
        <f t="shared" si="15"/>
        <v>3</v>
      </c>
      <c r="T212" s="26"/>
      <c r="U212" s="13"/>
      <c r="V212" s="13"/>
      <c r="W212" s="13"/>
    </row>
    <row r="213" spans="1:23" s="11" customFormat="1" ht="12.5" x14ac:dyDescent="0.35">
      <c r="A213" s="18" t="str">
        <f>_xlfn.XLOOKUP("*"&amp;Tabela1[[#This Row],[Processo]]&amp;"*",'Árvore de Localização'!$H:$H,'Árvore de Localização'!$G:$G,"0000",2)</f>
        <v>2104.B</v>
      </c>
      <c r="B213" s="38" t="str">
        <f>_xlfn.XLOOKUP(Tabela1[[#This Row],[Processo]],'Árvore de Localização'!$D:$D,'Árvore de Localização'!$B:$B,"",0,1)</f>
        <v>Utilidades</v>
      </c>
      <c r="C213" s="42" t="str">
        <f>_xlfn.XLOOKUP(Tabela1[[#This Row],[Processo]],'Árvore de Localização'!$D:$D,'Árvore de Localização'!$C:$C,"",0,1)</f>
        <v>Geração de Energia</v>
      </c>
      <c r="D213" s="39" t="s">
        <v>229</v>
      </c>
      <c r="E213" s="19" t="s">
        <v>361</v>
      </c>
      <c r="F213" s="19" t="s">
        <v>43</v>
      </c>
      <c r="G213" s="101"/>
      <c r="H213" s="101"/>
      <c r="I213" s="112"/>
      <c r="J213" s="119"/>
      <c r="K213" s="52" t="str">
        <f>IF(OR(Tabela1[[#This Row],[Replan]]="",Tabela1[[#This Row],[Previsto (LB)]]=""),"",Tabela1[[#This Row],[Previsto (LB)]]-Tabela1[[#This Row],[Replan]])</f>
        <v/>
      </c>
      <c r="L213" s="20" t="s">
        <v>940</v>
      </c>
      <c r="M213" s="21"/>
      <c r="N213" s="21"/>
      <c r="O213" s="19"/>
      <c r="P213" s="19"/>
      <c r="Q213" s="19"/>
      <c r="R213" s="105"/>
      <c r="S213" s="38">
        <f t="shared" si="15"/>
        <v>3</v>
      </c>
      <c r="T213" s="23"/>
    </row>
    <row r="214" spans="1:23" s="11" customFormat="1" ht="12.5" x14ac:dyDescent="0.35">
      <c r="A214" s="18" t="str">
        <f>_xlfn.XLOOKUP("*"&amp;Tabela1[[#This Row],[Processo]]&amp;"*",'Árvore de Localização'!$H:$H,'Árvore de Localização'!$G:$G,"0000",2)</f>
        <v>2104.B</v>
      </c>
      <c r="B214" s="38" t="str">
        <f>_xlfn.XLOOKUP(Tabela1[[#This Row],[Processo]],'Árvore de Localização'!$D:$D,'Árvore de Localização'!$B:$B,"",0,1)</f>
        <v>Utilidades</v>
      </c>
      <c r="C214" s="42" t="str">
        <f>_xlfn.XLOOKUP(Tabela1[[#This Row],[Processo]],'Árvore de Localização'!$D:$D,'Árvore de Localização'!$C:$C,"",0,1)</f>
        <v>Geração de Energia</v>
      </c>
      <c r="D214" s="39" t="s">
        <v>229</v>
      </c>
      <c r="E214" s="19" t="s">
        <v>361</v>
      </c>
      <c r="F214" s="19" t="s">
        <v>43</v>
      </c>
      <c r="G214" s="101"/>
      <c r="H214" s="101"/>
      <c r="I214" s="112"/>
      <c r="J214" s="119"/>
      <c r="K214" s="52" t="str">
        <f>IF(OR(Tabela1[[#This Row],[Replan]]="",Tabela1[[#This Row],[Previsto (LB)]]=""),"",Tabela1[[#This Row],[Previsto (LB)]]-Tabela1[[#This Row],[Replan]])</f>
        <v/>
      </c>
      <c r="L214" s="20" t="s">
        <v>947</v>
      </c>
      <c r="M214" s="21"/>
      <c r="N214" s="21"/>
      <c r="O214" s="19"/>
      <c r="P214" s="19"/>
      <c r="Q214" s="19"/>
      <c r="R214" s="105"/>
      <c r="S214" s="38">
        <f t="shared" si="15"/>
        <v>3</v>
      </c>
      <c r="T214" s="23"/>
    </row>
    <row r="215" spans="1:23" s="11" customFormat="1" ht="12.5" x14ac:dyDescent="0.35">
      <c r="A215" s="18" t="str">
        <f>_xlfn.XLOOKUP("*"&amp;Tabela1[[#This Row],[Processo]]&amp;"*",'Árvore de Localização'!$H:$H,'Árvore de Localização'!$G:$G,"0000",2)</f>
        <v>0000</v>
      </c>
      <c r="B215" s="38" t="str">
        <f>_xlfn.XLOOKUP(Tabela1[[#This Row],[Processo]],'Árvore de Localização'!$D:$D,'Árvore de Localização'!$B:$B,"",0,1)</f>
        <v>DDGSeÓleo</v>
      </c>
      <c r="C215" s="42" t="str">
        <f>_xlfn.XLOOKUP(Tabela1[[#This Row],[Processo]],'Árvore de Localização'!$D:$D,'Árvore de Localização'!$C:$C,"",0,1)</f>
        <v>Separação de Sólidos e Secagem de DDGS</v>
      </c>
      <c r="D215" s="39" t="s">
        <v>307</v>
      </c>
      <c r="E215" s="22" t="s">
        <v>48</v>
      </c>
      <c r="F215" s="22">
        <v>1</v>
      </c>
      <c r="G215" s="101"/>
      <c r="H215" s="101"/>
      <c r="I215" s="112"/>
      <c r="J215" s="119"/>
      <c r="K215" s="52" t="str">
        <f>IF(OR(Tabela1[[#This Row],[Replan]]="",Tabela1[[#This Row],[Previsto (LB)]]=""),"",Tabela1[[#This Row],[Previsto (LB)]]-Tabela1[[#This Row],[Replan]])</f>
        <v/>
      </c>
      <c r="L215" s="20" t="s">
        <v>699</v>
      </c>
      <c r="M215" s="21"/>
      <c r="N215" s="25"/>
      <c r="O215" s="19"/>
      <c r="P215" s="19"/>
      <c r="Q215" s="19"/>
      <c r="R215" s="105"/>
      <c r="S215" s="38">
        <f t="shared" si="15"/>
        <v>3</v>
      </c>
      <c r="T215" s="27"/>
    </row>
    <row r="216" spans="1:23" s="11" customFormat="1" ht="12.5" x14ac:dyDescent="0.35">
      <c r="A216" s="18" t="str">
        <f>_xlfn.XLOOKUP("*"&amp;Tabela1[[#This Row],[Processo]]&amp;"*",'Árvore de Localização'!$H:$H,'Árvore de Localização'!$G:$G,"0000",2)</f>
        <v>0000</v>
      </c>
      <c r="B216" s="38" t="str">
        <f>_xlfn.XLOOKUP(Tabela1[[#This Row],[Processo]],'Árvore de Localização'!$D:$D,'Árvore de Localização'!$B:$B,"",0,1)</f>
        <v>DDGSeÓleo</v>
      </c>
      <c r="C216" s="42" t="str">
        <f>_xlfn.XLOOKUP(Tabela1[[#This Row],[Processo]],'Árvore de Localização'!$D:$D,'Árvore de Localização'!$C:$C,"",0,1)</f>
        <v>Separação de Sólidos e Secagem de DDGS</v>
      </c>
      <c r="D216" s="39" t="s">
        <v>307</v>
      </c>
      <c r="E216" s="22" t="s">
        <v>48</v>
      </c>
      <c r="F216" s="22">
        <v>1</v>
      </c>
      <c r="G216" s="101"/>
      <c r="H216" s="101"/>
      <c r="I216" s="112"/>
      <c r="J216" s="119"/>
      <c r="K216" s="52" t="str">
        <f>IF(OR(Tabela1[[#This Row],[Replan]]="",Tabela1[[#This Row],[Previsto (LB)]]=""),"",Tabela1[[#This Row],[Previsto (LB)]]-Tabela1[[#This Row],[Replan]])</f>
        <v/>
      </c>
      <c r="L216" s="20" t="s">
        <v>732</v>
      </c>
      <c r="M216" s="21"/>
      <c r="N216" s="25"/>
      <c r="O216" s="19"/>
      <c r="P216" s="19"/>
      <c r="Q216" s="19"/>
      <c r="R216" s="105"/>
      <c r="S216" s="38">
        <f t="shared" si="15"/>
        <v>3</v>
      </c>
      <c r="T216" s="27"/>
    </row>
    <row r="217" spans="1:23" s="11" customFormat="1" ht="12.5" x14ac:dyDescent="0.35">
      <c r="A217" s="18" t="str">
        <f>_xlfn.XLOOKUP("*"&amp;Tabela1[[#This Row],[Processo]]&amp;"*",'Árvore de Localização'!$H:$H,'Árvore de Localização'!$G:$G,"0000",2)</f>
        <v>0000</v>
      </c>
      <c r="B217" s="38" t="str">
        <f>_xlfn.XLOOKUP(Tabela1[[#This Row],[Processo]],'Árvore de Localização'!$D:$D,'Árvore de Localização'!$B:$B,"",0,1)</f>
        <v>DDGSeÓleo</v>
      </c>
      <c r="C217" s="42" t="str">
        <f>_xlfn.XLOOKUP(Tabela1[[#This Row],[Processo]],'Árvore de Localização'!$D:$D,'Árvore de Localização'!$C:$C,"",0,1)</f>
        <v>Separação de Sólidos e Secagem de DDGS</v>
      </c>
      <c r="D217" s="39" t="s">
        <v>307</v>
      </c>
      <c r="E217" s="22" t="s">
        <v>48</v>
      </c>
      <c r="F217" s="22">
        <v>1</v>
      </c>
      <c r="G217" s="101"/>
      <c r="H217" s="101"/>
      <c r="I217" s="112"/>
      <c r="J217" s="119"/>
      <c r="K217" s="52" t="str">
        <f>IF(OR(Tabela1[[#This Row],[Replan]]="",Tabela1[[#This Row],[Previsto (LB)]]=""),"",Tabela1[[#This Row],[Previsto (LB)]]-Tabela1[[#This Row],[Replan]])</f>
        <v/>
      </c>
      <c r="L217" s="20" t="s">
        <v>705</v>
      </c>
      <c r="M217" s="21"/>
      <c r="N217" s="21"/>
      <c r="O217" s="19"/>
      <c r="P217" s="19"/>
      <c r="Q217" s="19"/>
      <c r="R217" s="105"/>
      <c r="S217" s="38">
        <f t="shared" si="15"/>
        <v>3</v>
      </c>
      <c r="T217" s="27"/>
    </row>
    <row r="218" spans="1:23" s="11" customFormat="1" ht="12.5" x14ac:dyDescent="0.35">
      <c r="A218" s="18" t="str">
        <f>_xlfn.XLOOKUP("*"&amp;Tabela1[[#This Row],[Processo]]&amp;"*",'Árvore de Localização'!$H:$H,'Árvore de Localização'!$G:$G,"0000",2)</f>
        <v>0000</v>
      </c>
      <c r="B218" s="38" t="str">
        <f>_xlfn.XLOOKUP(Tabela1[[#This Row],[Processo]],'Árvore de Localização'!$D:$D,'Árvore de Localização'!$B:$B,"",0,1)</f>
        <v>DDGSeÓleo</v>
      </c>
      <c r="C218" s="42" t="str">
        <f>_xlfn.XLOOKUP(Tabela1[[#This Row],[Processo]],'Árvore de Localização'!$D:$D,'Árvore de Localização'!$C:$C,"",0,1)</f>
        <v>Separação de Sólidos e Secagem de DDGS</v>
      </c>
      <c r="D218" s="39" t="s">
        <v>307</v>
      </c>
      <c r="E218" s="22" t="s">
        <v>48</v>
      </c>
      <c r="F218" s="22">
        <v>1</v>
      </c>
      <c r="G218" s="101"/>
      <c r="H218" s="101"/>
      <c r="I218" s="112"/>
      <c r="J218" s="119"/>
      <c r="K218" s="52" t="str">
        <f>IF(OR(Tabela1[[#This Row],[Replan]]="",Tabela1[[#This Row],[Previsto (LB)]]=""),"",Tabela1[[#This Row],[Previsto (LB)]]-Tabela1[[#This Row],[Replan]])</f>
        <v/>
      </c>
      <c r="L218" s="20" t="s">
        <v>733</v>
      </c>
      <c r="M218" s="21"/>
      <c r="N218" s="25"/>
      <c r="O218" s="19"/>
      <c r="P218" s="19"/>
      <c r="Q218" s="19"/>
      <c r="R218" s="105"/>
      <c r="S218" s="38">
        <f t="shared" si="15"/>
        <v>3</v>
      </c>
      <c r="T218" s="27"/>
    </row>
    <row r="219" spans="1:23" s="11" customFormat="1" ht="12.5" x14ac:dyDescent="0.35">
      <c r="A219" s="18" t="str">
        <f>_xlfn.XLOOKUP("*"&amp;Tabela1[[#This Row],[Processo]]&amp;"*",'Árvore de Localização'!$H:$H,'Árvore de Localização'!$G:$G,"0000",2)</f>
        <v>0000</v>
      </c>
      <c r="B219" s="38" t="str">
        <f>_xlfn.XLOOKUP(Tabela1[[#This Row],[Processo]],'Árvore de Localização'!$D:$D,'Árvore de Localização'!$B:$B,"",0,1)</f>
        <v>DDGSeÓleo</v>
      </c>
      <c r="C219" s="42" t="str">
        <f>_xlfn.XLOOKUP(Tabela1[[#This Row],[Processo]],'Árvore de Localização'!$D:$D,'Árvore de Localização'!$C:$C,"",0,1)</f>
        <v>Separação de Sólidos e Secagem de DDGS</v>
      </c>
      <c r="D219" s="39" t="s">
        <v>307</v>
      </c>
      <c r="E219" s="22" t="s">
        <v>48</v>
      </c>
      <c r="F219" s="22">
        <v>1</v>
      </c>
      <c r="G219" s="101"/>
      <c r="H219" s="101"/>
      <c r="I219" s="112"/>
      <c r="J219" s="119"/>
      <c r="K219" s="52" t="str">
        <f>IF(OR(Tabela1[[#This Row],[Replan]]="",Tabela1[[#This Row],[Previsto (LB)]]=""),"",Tabela1[[#This Row],[Previsto (LB)]]-Tabela1[[#This Row],[Replan]])</f>
        <v/>
      </c>
      <c r="L219" s="20" t="s">
        <v>700</v>
      </c>
      <c r="M219" s="21"/>
      <c r="N219" s="21"/>
      <c r="O219" s="19"/>
      <c r="P219" s="19"/>
      <c r="Q219" s="19"/>
      <c r="R219" s="105"/>
      <c r="S219" s="38">
        <f t="shared" si="15"/>
        <v>3</v>
      </c>
      <c r="T219" s="27"/>
    </row>
    <row r="220" spans="1:23" s="11" customFormat="1" ht="12.5" x14ac:dyDescent="0.35">
      <c r="A220" s="18" t="str">
        <f>_xlfn.XLOOKUP("*"&amp;Tabela1[[#This Row],[Processo]]&amp;"*",'Árvore de Localização'!$H:$H,'Árvore de Localização'!$G:$G,"0000",2)</f>
        <v>0000</v>
      </c>
      <c r="B220" s="38" t="str">
        <f>_xlfn.XLOOKUP(Tabela1[[#This Row],[Processo]],'Árvore de Localização'!$D:$D,'Árvore de Localização'!$B:$B,"",0,1)</f>
        <v>DDGSeÓleo</v>
      </c>
      <c r="C220" s="42" t="str">
        <f>_xlfn.XLOOKUP(Tabela1[[#This Row],[Processo]],'Árvore de Localização'!$D:$D,'Árvore de Localização'!$C:$C,"",0,1)</f>
        <v>Separação de Sólidos e Secagem de DDGS</v>
      </c>
      <c r="D220" s="39" t="s">
        <v>307</v>
      </c>
      <c r="E220" s="22" t="s">
        <v>48</v>
      </c>
      <c r="F220" s="22">
        <v>1</v>
      </c>
      <c r="G220" s="101"/>
      <c r="H220" s="101"/>
      <c r="I220" s="112"/>
      <c r="J220" s="119"/>
      <c r="K220" s="52" t="str">
        <f>IF(OR(Tabela1[[#This Row],[Replan]]="",Tabela1[[#This Row],[Previsto (LB)]]=""),"",Tabela1[[#This Row],[Previsto (LB)]]-Tabela1[[#This Row],[Replan]])</f>
        <v/>
      </c>
      <c r="L220" s="20" t="s">
        <v>706</v>
      </c>
      <c r="M220" s="21"/>
      <c r="N220" s="21"/>
      <c r="O220" s="19"/>
      <c r="P220" s="19"/>
      <c r="Q220" s="19"/>
      <c r="R220" s="105"/>
      <c r="S220" s="38">
        <f t="shared" ref="S220:S221" si="16">IF(R220="Não iniciado",1,IF(R220="Em andamento",2,3))</f>
        <v>3</v>
      </c>
      <c r="T220" s="27"/>
    </row>
    <row r="221" spans="1:23" s="11" customFormat="1" ht="12.5" x14ac:dyDescent="0.35">
      <c r="A221" s="18" t="str">
        <f>_xlfn.XLOOKUP("*"&amp;Tabela1[[#This Row],[Processo]]&amp;"*",'Árvore de Localização'!$H:$H,'Árvore de Localização'!$G:$G,"0000",2)</f>
        <v>0000</v>
      </c>
      <c r="B221" s="38" t="str">
        <f>_xlfn.XLOOKUP(Tabela1[[#This Row],[Processo]],'Árvore de Localização'!$D:$D,'Árvore de Localização'!$B:$B,"",0,1)</f>
        <v>DDGSeÓleo</v>
      </c>
      <c r="C221" s="42" t="str">
        <f>_xlfn.XLOOKUP(Tabela1[[#This Row],[Processo]],'Árvore de Localização'!$D:$D,'Árvore de Localização'!$C:$C,"",0,1)</f>
        <v>Separação de Sólidos e Secagem de DDGS</v>
      </c>
      <c r="D221" s="39" t="s">
        <v>307</v>
      </c>
      <c r="E221" s="22" t="s">
        <v>48</v>
      </c>
      <c r="F221" s="22">
        <v>1</v>
      </c>
      <c r="G221" s="101"/>
      <c r="H221" s="101"/>
      <c r="I221" s="112"/>
      <c r="J221" s="119"/>
      <c r="K221" s="52" t="str">
        <f>IF(OR(Tabela1[[#This Row],[Replan]]="",Tabela1[[#This Row],[Previsto (LB)]]=""),"",Tabela1[[#This Row],[Previsto (LB)]]-Tabela1[[#This Row],[Replan]])</f>
        <v/>
      </c>
      <c r="L221" s="20" t="s">
        <v>701</v>
      </c>
      <c r="M221" s="21"/>
      <c r="N221" s="21"/>
      <c r="O221" s="19"/>
      <c r="P221" s="19"/>
      <c r="Q221" s="19"/>
      <c r="R221" s="105"/>
      <c r="S221" s="38">
        <f t="shared" si="16"/>
        <v>3</v>
      </c>
      <c r="T221" s="27"/>
    </row>
    <row r="222" spans="1:23" s="11" customFormat="1" ht="12.5" x14ac:dyDescent="0.35">
      <c r="A222" s="18" t="str">
        <f>_xlfn.XLOOKUP("*"&amp;Tabela1[[#This Row],[Processo]]&amp;"*",'Árvore de Localização'!$H:$H,'Árvore de Localização'!$G:$G,"0000",2)</f>
        <v>0000</v>
      </c>
      <c r="B222" s="38" t="str">
        <f>_xlfn.XLOOKUP(Tabela1[[#This Row],[Processo]],'Árvore de Localização'!$D:$D,'Árvore de Localização'!$B:$B,"",0,1)</f>
        <v>DDGSeÓleo</v>
      </c>
      <c r="C222" s="42" t="str">
        <f>_xlfn.XLOOKUP(Tabela1[[#This Row],[Processo]],'Árvore de Localização'!$D:$D,'Árvore de Localização'!$C:$C,"",0,1)</f>
        <v>Separação de Sólidos e Secagem de DDGS</v>
      </c>
      <c r="D222" s="39" t="s">
        <v>307</v>
      </c>
      <c r="E222" s="22" t="s">
        <v>48</v>
      </c>
      <c r="F222" s="22">
        <v>1</v>
      </c>
      <c r="G222" s="101"/>
      <c r="H222" s="101"/>
      <c r="I222" s="112"/>
      <c r="J222" s="119"/>
      <c r="K222" s="52" t="str">
        <f>IF(OR(Tabela1[[#This Row],[Replan]]="",Tabela1[[#This Row],[Previsto (LB)]]=""),"",Tabela1[[#This Row],[Previsto (LB)]]-Tabela1[[#This Row],[Replan]])</f>
        <v/>
      </c>
      <c r="L222" s="20" t="s">
        <v>714</v>
      </c>
      <c r="M222" s="21"/>
      <c r="N222" s="21"/>
      <c r="O222" s="19"/>
      <c r="P222" s="19"/>
      <c r="Q222" s="19"/>
      <c r="R222" s="105"/>
      <c r="S222" s="38">
        <f>IF(R222="Não iniciado",1,IF(R222="Em andamento",2,3))</f>
        <v>3</v>
      </c>
      <c r="T222" s="27"/>
    </row>
    <row r="223" spans="1:23" s="11" customFormat="1" ht="12.5" x14ac:dyDescent="0.35">
      <c r="A223" s="18" t="str">
        <f>_xlfn.XLOOKUP("*"&amp;Tabela1[[#This Row],[Processo]]&amp;"*",'Árvore de Localização'!$H:$H,'Árvore de Localização'!$G:$G,"0000",2)</f>
        <v>0000</v>
      </c>
      <c r="B223" s="38" t="str">
        <f>_xlfn.XLOOKUP(Tabela1[[#This Row],[Processo]],'Árvore de Localização'!$D:$D,'Árvore de Localização'!$B:$B,"",0,1)</f>
        <v>DDGSeÓleo</v>
      </c>
      <c r="C223" s="42" t="str">
        <f>_xlfn.XLOOKUP(Tabela1[[#This Row],[Processo]],'Árvore de Localização'!$D:$D,'Árvore de Localização'!$C:$C,"",0,1)</f>
        <v>Separação de Sólidos e Secagem de DDGS</v>
      </c>
      <c r="D223" s="39" t="s">
        <v>307</v>
      </c>
      <c r="E223" s="22" t="s">
        <v>48</v>
      </c>
      <c r="F223" s="22">
        <v>1</v>
      </c>
      <c r="G223" s="101"/>
      <c r="H223" s="101"/>
      <c r="I223" s="112"/>
      <c r="J223" s="119"/>
      <c r="K223" s="52" t="str">
        <f>IF(OR(Tabela1[[#This Row],[Replan]]="",Tabela1[[#This Row],[Previsto (LB)]]=""),"",Tabela1[[#This Row],[Previsto (LB)]]-Tabela1[[#This Row],[Replan]])</f>
        <v/>
      </c>
      <c r="L223" s="20" t="s">
        <v>707</v>
      </c>
      <c r="M223" s="21"/>
      <c r="N223" s="21"/>
      <c r="O223" s="19"/>
      <c r="P223" s="19"/>
      <c r="Q223" s="19"/>
      <c r="R223" s="105"/>
      <c r="S223" s="38">
        <f>IF(R223="Não iniciado",1,IF(R223="Em andamento",2,3))</f>
        <v>3</v>
      </c>
      <c r="T223" s="27"/>
    </row>
    <row r="224" spans="1:23" s="11" customFormat="1" ht="12.5" x14ac:dyDescent="0.35">
      <c r="A224" s="18" t="str">
        <f>_xlfn.XLOOKUP("*"&amp;Tabela1[[#This Row],[Processo]]&amp;"*",'Árvore de Localização'!$H:$H,'Árvore de Localização'!$G:$G,"0000",2)</f>
        <v>0000</v>
      </c>
      <c r="B224" s="38" t="str">
        <f>_xlfn.XLOOKUP(Tabela1[[#This Row],[Processo]],'Árvore de Localização'!$D:$D,'Árvore de Localização'!$B:$B,"",0,1)</f>
        <v>DDGSeÓleo</v>
      </c>
      <c r="C224" s="42" t="str">
        <f>_xlfn.XLOOKUP(Tabela1[[#This Row],[Processo]],'Árvore de Localização'!$D:$D,'Árvore de Localização'!$C:$C,"",0,1)</f>
        <v>Separação de Sólidos e Secagem de DDGS</v>
      </c>
      <c r="D224" s="39" t="s">
        <v>307</v>
      </c>
      <c r="E224" s="22" t="s">
        <v>48</v>
      </c>
      <c r="F224" s="22">
        <v>1</v>
      </c>
      <c r="G224" s="101"/>
      <c r="H224" s="101"/>
      <c r="I224" s="112"/>
      <c r="J224" s="119"/>
      <c r="K224" s="52" t="str">
        <f>IF(OR(Tabela1[[#This Row],[Replan]]="",Tabela1[[#This Row],[Previsto (LB)]]=""),"",Tabela1[[#This Row],[Previsto (LB)]]-Tabela1[[#This Row],[Replan]])</f>
        <v/>
      </c>
      <c r="L224" s="20" t="s">
        <v>702</v>
      </c>
      <c r="M224" s="21"/>
      <c r="N224" s="21"/>
      <c r="O224" s="19"/>
      <c r="P224" s="19"/>
      <c r="Q224" s="19"/>
      <c r="R224" s="105"/>
      <c r="S224" s="38">
        <f>IF(R224="Não iniciado",1,IF(R224="Em andamento",2,3))</f>
        <v>3</v>
      </c>
      <c r="T224" s="27"/>
    </row>
    <row r="225" spans="1:20" s="11" customFormat="1" ht="12.5" x14ac:dyDescent="0.35">
      <c r="A225" s="18" t="str">
        <f>_xlfn.XLOOKUP("*"&amp;Tabela1[[#This Row],[Processo]]&amp;"*",'Árvore de Localização'!$H:$H,'Árvore de Localização'!$G:$G,"0000",2)</f>
        <v>0000</v>
      </c>
      <c r="B225" s="38" t="str">
        <f>_xlfn.XLOOKUP(Tabela1[[#This Row],[Processo]],'Árvore de Localização'!$D:$D,'Árvore de Localização'!$B:$B,"",0,1)</f>
        <v>Utilidades</v>
      </c>
      <c r="C225" s="42" t="str">
        <f>_xlfn.XLOOKUP(Tabela1[[#This Row],[Processo]],'Árvore de Localização'!$D:$D,'Árvore de Localização'!$C:$C,"",0,1)</f>
        <v>Sistema de Combate a Incêndio</v>
      </c>
      <c r="D225" s="39" t="s">
        <v>309</v>
      </c>
      <c r="E225" s="22" t="s">
        <v>362</v>
      </c>
      <c r="F225" s="22" t="s">
        <v>43</v>
      </c>
      <c r="G225" s="101"/>
      <c r="H225" s="101"/>
      <c r="I225" s="112"/>
      <c r="J225" s="119"/>
      <c r="K225" s="52" t="str">
        <f>IF(OR(Tabela1[[#This Row],[Replan]]="",Tabela1[[#This Row],[Previsto (LB)]]=""),"",Tabela1[[#This Row],[Previsto (LB)]]-Tabela1[[#This Row],[Replan]])</f>
        <v/>
      </c>
      <c r="L225" s="20" t="s">
        <v>1128</v>
      </c>
      <c r="M225" s="21"/>
      <c r="N225" s="21"/>
      <c r="O225" s="19"/>
      <c r="P225" s="19"/>
      <c r="Q225" s="19"/>
      <c r="R225" s="105"/>
      <c r="S225" s="38">
        <f t="shared" si="15"/>
        <v>3</v>
      </c>
      <c r="T225" s="23"/>
    </row>
    <row r="226" spans="1:20" s="11" customFormat="1" ht="12.5" x14ac:dyDescent="0.35">
      <c r="A226" s="18" t="str">
        <f>_xlfn.XLOOKUP("*"&amp;Tabela1[[#This Row],[Processo]]&amp;"*",'Árvore de Localização'!$H:$H,'Árvore de Localização'!$G:$G,"0000",2)</f>
        <v>0000</v>
      </c>
      <c r="B226" s="38" t="str">
        <f>_xlfn.XLOOKUP(Tabela1[[#This Row],[Processo]],'Árvore de Localização'!$D:$D,'Árvore de Localização'!$B:$B,"",0,1)</f>
        <v>Utilidades</v>
      </c>
      <c r="C226" s="42" t="str">
        <f>_xlfn.XLOOKUP(Tabela1[[#This Row],[Processo]],'Árvore de Localização'!$D:$D,'Árvore de Localização'!$C:$C,"",0,1)</f>
        <v>Sistema de Combate a Incêndio</v>
      </c>
      <c r="D226" s="39" t="s">
        <v>309</v>
      </c>
      <c r="E226" s="22" t="s">
        <v>362</v>
      </c>
      <c r="F226" s="22" t="s">
        <v>43</v>
      </c>
      <c r="G226" s="101"/>
      <c r="H226" s="101"/>
      <c r="I226" s="112"/>
      <c r="J226" s="119"/>
      <c r="K226" s="52" t="str">
        <f>IF(OR(Tabela1[[#This Row],[Replan]]="",Tabela1[[#This Row],[Previsto (LB)]]=""),"",Tabela1[[#This Row],[Previsto (LB)]]-Tabela1[[#This Row],[Replan]])</f>
        <v/>
      </c>
      <c r="L226" s="20" t="s">
        <v>1146</v>
      </c>
      <c r="M226" s="21"/>
      <c r="N226" s="21"/>
      <c r="O226" s="19"/>
      <c r="P226" s="19"/>
      <c r="Q226" s="19"/>
      <c r="R226" s="105"/>
      <c r="S226" s="38">
        <f t="shared" si="15"/>
        <v>3</v>
      </c>
      <c r="T226" s="23"/>
    </row>
    <row r="227" spans="1:20" s="11" customFormat="1" ht="12.5" x14ac:dyDescent="0.35">
      <c r="A227" s="18" t="str">
        <f>_xlfn.XLOOKUP("*"&amp;Tabela1[[#This Row],[Processo]]&amp;"*",'Árvore de Localização'!$H:$H,'Árvore de Localização'!$G:$G,"0000",2)</f>
        <v>0000</v>
      </c>
      <c r="B227" s="38" t="str">
        <f>_xlfn.XLOOKUP(Tabela1[[#This Row],[Processo]],'Árvore de Localização'!$D:$D,'Árvore de Localização'!$B:$B,"",0,1)</f>
        <v>Utilidades</v>
      </c>
      <c r="C227" s="42" t="str">
        <f>_xlfn.XLOOKUP(Tabela1[[#This Row],[Processo]],'Árvore de Localização'!$D:$D,'Árvore de Localização'!$C:$C,"",0,1)</f>
        <v>Sistema de Combate a Incêndio</v>
      </c>
      <c r="D227" s="39" t="s">
        <v>309</v>
      </c>
      <c r="E227" s="22" t="s">
        <v>362</v>
      </c>
      <c r="F227" s="22" t="s">
        <v>43</v>
      </c>
      <c r="G227" s="101"/>
      <c r="H227" s="101"/>
      <c r="I227" s="112"/>
      <c r="J227" s="119"/>
      <c r="K227" s="52" t="str">
        <f>IF(OR(Tabela1[[#This Row],[Replan]]="",Tabela1[[#This Row],[Previsto (LB)]]=""),"",Tabela1[[#This Row],[Previsto (LB)]]-Tabela1[[#This Row],[Replan]])</f>
        <v/>
      </c>
      <c r="L227" s="20" t="s">
        <v>1137</v>
      </c>
      <c r="M227" s="21"/>
      <c r="N227" s="21"/>
      <c r="O227" s="19"/>
      <c r="P227" s="19"/>
      <c r="Q227" s="19"/>
      <c r="R227" s="105"/>
      <c r="S227" s="38">
        <f t="shared" si="15"/>
        <v>3</v>
      </c>
      <c r="T227" s="23"/>
    </row>
    <row r="228" spans="1:20" s="11" customFormat="1" ht="12.5" x14ac:dyDescent="0.35">
      <c r="A228" s="18" t="str">
        <f>_xlfn.XLOOKUP("*"&amp;Tabela1[[#This Row],[Processo]]&amp;"*",'Árvore de Localização'!$H:$H,'Árvore de Localização'!$G:$G,"0000",2)</f>
        <v>0000</v>
      </c>
      <c r="B228" s="38" t="str">
        <f>_xlfn.XLOOKUP(Tabela1[[#This Row],[Processo]],'Árvore de Localização'!$D:$D,'Árvore de Localização'!$B:$B,"",0,1)</f>
        <v>Utilidades</v>
      </c>
      <c r="C228" s="42" t="str">
        <f>_xlfn.XLOOKUP(Tabela1[[#This Row],[Processo]],'Árvore de Localização'!$D:$D,'Árvore de Localização'!$C:$C,"",0,1)</f>
        <v>Sistema de Combate a Incêndio</v>
      </c>
      <c r="D228" s="39" t="s">
        <v>309</v>
      </c>
      <c r="E228" s="22" t="s">
        <v>362</v>
      </c>
      <c r="F228" s="22" t="s">
        <v>43</v>
      </c>
      <c r="G228" s="101"/>
      <c r="H228" s="101"/>
      <c r="I228" s="112"/>
      <c r="J228" s="119"/>
      <c r="K228" s="52" t="str">
        <f>IF(OR(Tabela1[[#This Row],[Replan]]="",Tabela1[[#This Row],[Previsto (LB)]]=""),"",Tabela1[[#This Row],[Previsto (LB)]]-Tabela1[[#This Row],[Replan]])</f>
        <v/>
      </c>
      <c r="L228" s="20" t="s">
        <v>1129</v>
      </c>
      <c r="M228" s="21"/>
      <c r="N228" s="21"/>
      <c r="O228" s="19"/>
      <c r="P228" s="19"/>
      <c r="Q228" s="19"/>
      <c r="R228" s="105"/>
      <c r="S228" s="38">
        <f t="shared" si="15"/>
        <v>3</v>
      </c>
      <c r="T228" s="23"/>
    </row>
    <row r="229" spans="1:20" s="11" customFormat="1" ht="12.5" x14ac:dyDescent="0.35">
      <c r="A229" s="18" t="str">
        <f>_xlfn.XLOOKUP("*"&amp;Tabela1[[#This Row],[Processo]]&amp;"*",'Árvore de Localização'!$H:$H,'Árvore de Localização'!$G:$G,"0000",2)</f>
        <v>0000</v>
      </c>
      <c r="B229" s="38" t="str">
        <f>_xlfn.XLOOKUP(Tabela1[[#This Row],[Processo]],'Árvore de Localização'!$D:$D,'Árvore de Localização'!$B:$B,"",0,1)</f>
        <v>Utilidades</v>
      </c>
      <c r="C229" s="42" t="str">
        <f>_xlfn.XLOOKUP(Tabela1[[#This Row],[Processo]],'Árvore de Localização'!$D:$D,'Árvore de Localização'!$C:$C,"",0,1)</f>
        <v>Sistema de Combate a Incêndio</v>
      </c>
      <c r="D229" s="39" t="s">
        <v>309</v>
      </c>
      <c r="E229" s="22" t="s">
        <v>362</v>
      </c>
      <c r="F229" s="22" t="s">
        <v>43</v>
      </c>
      <c r="G229" s="101"/>
      <c r="H229" s="101"/>
      <c r="I229" s="112"/>
      <c r="J229" s="119"/>
      <c r="K229" s="52" t="str">
        <f>IF(OR(Tabela1[[#This Row],[Replan]]="",Tabela1[[#This Row],[Previsto (LB)]]=""),"",Tabela1[[#This Row],[Previsto (LB)]]-Tabela1[[#This Row],[Replan]])</f>
        <v/>
      </c>
      <c r="L229" s="20" t="s">
        <v>1138</v>
      </c>
      <c r="M229" s="21"/>
      <c r="N229" s="21"/>
      <c r="O229" s="19"/>
      <c r="P229" s="19"/>
      <c r="Q229" s="19"/>
      <c r="R229" s="105"/>
      <c r="S229" s="38">
        <f>IF(R229="Não iniciado",1,IF(R229="Em andamento",2,3))</f>
        <v>3</v>
      </c>
      <c r="T229" s="27"/>
    </row>
    <row r="230" spans="1:20" s="11" customFormat="1" ht="12.5" x14ac:dyDescent="0.35">
      <c r="A230" s="18" t="str">
        <f>_xlfn.XLOOKUP("*"&amp;Tabela1[[#This Row],[Processo]]&amp;"*",'Árvore de Localização'!$H:$H,'Árvore de Localização'!$G:$G,"0000",2)</f>
        <v>2104.B</v>
      </c>
      <c r="B230" s="38" t="str">
        <f>_xlfn.XLOOKUP(Tabela1[[#This Row],[Processo]],'Árvore de Localização'!$D:$D,'Árvore de Localização'!$B:$B,"",0,1)</f>
        <v>Utilidades</v>
      </c>
      <c r="C230" s="42" t="str">
        <f>_xlfn.XLOOKUP(Tabela1[[#This Row],[Processo]],'Árvore de Localização'!$D:$D,'Árvore de Localização'!$C:$C,"",0,1)</f>
        <v>Geração de Energia</v>
      </c>
      <c r="D230" s="39" t="s">
        <v>229</v>
      </c>
      <c r="E230" s="22" t="s">
        <v>17</v>
      </c>
      <c r="F230" s="22" t="s">
        <v>43</v>
      </c>
      <c r="G230" s="101"/>
      <c r="H230" s="101"/>
      <c r="I230" s="112"/>
      <c r="J230" s="119"/>
      <c r="K230" s="52" t="str">
        <f>IF(OR(Tabela1[[#This Row],[Replan]]="",Tabela1[[#This Row],[Previsto (LB)]]=""),"",Tabela1[[#This Row],[Previsto (LB)]]-Tabela1[[#This Row],[Replan]])</f>
        <v/>
      </c>
      <c r="L230" s="20" t="s">
        <v>963</v>
      </c>
      <c r="M230" s="21"/>
      <c r="N230" s="21"/>
      <c r="O230" s="19"/>
      <c r="P230" s="19"/>
      <c r="Q230" s="19"/>
      <c r="R230" s="105"/>
      <c r="S230" s="38">
        <f>IF(R230="Não iniciado",1,IF(R230="Em andamento",2,3))</f>
        <v>3</v>
      </c>
      <c r="T230" s="27"/>
    </row>
    <row r="231" spans="1:20" s="11" customFormat="1" ht="12.5" x14ac:dyDescent="0.35">
      <c r="A231" s="18" t="str">
        <f>_xlfn.XLOOKUP("*"&amp;Tabela1[[#This Row],[Processo]]&amp;"*",'Árvore de Localização'!$H:$H,'Árvore de Localização'!$G:$G,"0000",2)</f>
        <v>2104.B</v>
      </c>
      <c r="B231" s="38" t="str">
        <f>_xlfn.XLOOKUP(Tabela1[[#This Row],[Processo]],'Árvore de Localização'!$D:$D,'Árvore de Localização'!$B:$B,"",0,1)</f>
        <v>Utilidades</v>
      </c>
      <c r="C231" s="42" t="str">
        <f>_xlfn.XLOOKUP(Tabela1[[#This Row],[Processo]],'Árvore de Localização'!$D:$D,'Árvore de Localização'!$C:$C,"",0,1)</f>
        <v>Geração de Energia</v>
      </c>
      <c r="D231" s="39" t="s">
        <v>229</v>
      </c>
      <c r="E231" s="22" t="s">
        <v>17</v>
      </c>
      <c r="F231" s="22" t="s">
        <v>43</v>
      </c>
      <c r="G231" s="101"/>
      <c r="H231" s="101"/>
      <c r="I231" s="112"/>
      <c r="J231" s="119"/>
      <c r="K231" s="52" t="str">
        <f>IF(OR(Tabela1[[#This Row],[Replan]]="",Tabela1[[#This Row],[Previsto (LB)]]=""),"",Tabela1[[#This Row],[Previsto (LB)]]-Tabela1[[#This Row],[Replan]])</f>
        <v/>
      </c>
      <c r="L231" s="20" t="s">
        <v>964</v>
      </c>
      <c r="M231" s="25"/>
      <c r="N231" s="21"/>
      <c r="O231" s="19"/>
      <c r="P231" s="19"/>
      <c r="Q231" s="19"/>
      <c r="R231" s="105"/>
      <c r="S231" s="38">
        <f t="shared" si="15"/>
        <v>3</v>
      </c>
      <c r="T231" s="23"/>
    </row>
    <row r="232" spans="1:20" s="11" customFormat="1" ht="12.5" x14ac:dyDescent="0.35">
      <c r="A232" s="18" t="str">
        <f>_xlfn.XLOOKUP("*"&amp;Tabela1[[#This Row],[Processo]]&amp;"*",'Árvore de Localização'!$H:$H,'Árvore de Localização'!$G:$G,"0000",2)</f>
        <v>2127.A</v>
      </c>
      <c r="B232" s="38" t="str">
        <f>_xlfn.XLOOKUP(Tabela1[[#This Row],[Processo]],'Árvore de Localização'!$D:$D,'Árvore de Localização'!$B:$B,"",0,1)</f>
        <v>Etanol</v>
      </c>
      <c r="C232" s="42" t="str">
        <f>_xlfn.XLOOKUP(Tabela1[[#This Row],[Processo]],'Árvore de Localização'!$D:$D,'Árvore de Localização'!$C:$C,"",0,1)</f>
        <v>Armazenamento e Expedição de Etanol</v>
      </c>
      <c r="D232" s="39" t="s">
        <v>169</v>
      </c>
      <c r="E232" s="22" t="s">
        <v>15</v>
      </c>
      <c r="F232" s="22">
        <v>1</v>
      </c>
      <c r="G232" s="101"/>
      <c r="H232" s="101"/>
      <c r="I232" s="112"/>
      <c r="J232" s="119"/>
      <c r="K232" s="52" t="str">
        <f>IF(OR(Tabela1[[#This Row],[Replan]]="",Tabela1[[#This Row],[Previsto (LB)]]=""),"",Tabela1[[#This Row],[Previsto (LB)]]-Tabela1[[#This Row],[Replan]])</f>
        <v/>
      </c>
      <c r="L232" s="20" t="s">
        <v>655</v>
      </c>
      <c r="M232" s="25"/>
      <c r="N232" s="21"/>
      <c r="O232" s="19"/>
      <c r="P232" s="19"/>
      <c r="Q232" s="19"/>
      <c r="R232" s="105"/>
      <c r="S232" s="38">
        <f t="shared" si="15"/>
        <v>3</v>
      </c>
      <c r="T232" s="24"/>
    </row>
    <row r="233" spans="1:20" s="11" customFormat="1" ht="12.5" x14ac:dyDescent="0.35">
      <c r="A233" s="18" t="str">
        <f>_xlfn.XLOOKUP("*"&amp;Tabela1[[#This Row],[Processo]]&amp;"*",'Árvore de Localização'!$H:$H,'Árvore de Localização'!$G:$G,"0000",2)</f>
        <v>2127.A</v>
      </c>
      <c r="B233" s="38" t="str">
        <f>_xlfn.XLOOKUP(Tabela1[[#This Row],[Processo]],'Árvore de Localização'!$D:$D,'Árvore de Localização'!$B:$B,"",0,1)</f>
        <v>Etanol</v>
      </c>
      <c r="C233" s="42" t="str">
        <f>_xlfn.XLOOKUP(Tabela1[[#This Row],[Processo]],'Árvore de Localização'!$D:$D,'Árvore de Localização'!$C:$C,"",0,1)</f>
        <v>Armazenamento e Expedição de Etanol</v>
      </c>
      <c r="D233" s="39" t="s">
        <v>169</v>
      </c>
      <c r="E233" s="22" t="s">
        <v>15</v>
      </c>
      <c r="F233" s="22">
        <v>1</v>
      </c>
      <c r="G233" s="101"/>
      <c r="H233" s="101"/>
      <c r="I233" s="112"/>
      <c r="J233" s="119"/>
      <c r="K233" s="52" t="str">
        <f>IF(OR(Tabela1[[#This Row],[Replan]]="",Tabela1[[#This Row],[Previsto (LB)]]=""),"",Tabela1[[#This Row],[Previsto (LB)]]-Tabela1[[#This Row],[Replan]])</f>
        <v/>
      </c>
      <c r="L233" s="20" t="s">
        <v>1629</v>
      </c>
      <c r="M233" s="21"/>
      <c r="N233" s="21"/>
      <c r="O233" s="19"/>
      <c r="P233" s="19"/>
      <c r="Q233" s="19"/>
      <c r="R233" s="105"/>
      <c r="S233" s="38">
        <f t="shared" si="15"/>
        <v>3</v>
      </c>
      <c r="T233" s="24"/>
    </row>
    <row r="234" spans="1:20" s="11" customFormat="1" ht="12.5" x14ac:dyDescent="0.35">
      <c r="A234" s="18" t="str">
        <f>_xlfn.XLOOKUP("*"&amp;Tabela1[[#This Row],[Processo]]&amp;"*",'Árvore de Localização'!$H:$H,'Árvore de Localização'!$G:$G,"0000",2)</f>
        <v>2127.A</v>
      </c>
      <c r="B234" s="38" t="str">
        <f>_xlfn.XLOOKUP(Tabela1[[#This Row],[Processo]],'Árvore de Localização'!$D:$D,'Árvore de Localização'!$B:$B,"",0,1)</f>
        <v>Etanol</v>
      </c>
      <c r="C234" s="42" t="str">
        <f>_xlfn.XLOOKUP(Tabela1[[#This Row],[Processo]],'Árvore de Localização'!$D:$D,'Árvore de Localização'!$C:$C,"",0,1)</f>
        <v>Armazenamento e Expedição de Etanol</v>
      </c>
      <c r="D234" s="39" t="s">
        <v>169</v>
      </c>
      <c r="E234" s="22" t="s">
        <v>15</v>
      </c>
      <c r="F234" s="22">
        <v>1</v>
      </c>
      <c r="G234" s="101"/>
      <c r="H234" s="101"/>
      <c r="I234" s="112"/>
      <c r="J234" s="119"/>
      <c r="K234" s="52" t="str">
        <f>IF(OR(Tabela1[[#This Row],[Replan]]="",Tabela1[[#This Row],[Previsto (LB)]]=""),"",Tabela1[[#This Row],[Previsto (LB)]]-Tabela1[[#This Row],[Replan]])</f>
        <v/>
      </c>
      <c r="L234" s="20" t="s">
        <v>668</v>
      </c>
      <c r="M234" s="21"/>
      <c r="N234" s="21"/>
      <c r="O234" s="19"/>
      <c r="P234" s="19"/>
      <c r="Q234" s="19"/>
      <c r="R234" s="105"/>
      <c r="S234" s="38">
        <f t="shared" si="15"/>
        <v>3</v>
      </c>
      <c r="T234" s="24"/>
    </row>
    <row r="235" spans="1:20" s="11" customFormat="1" ht="12.5" x14ac:dyDescent="0.35">
      <c r="A235" s="18" t="str">
        <f>_xlfn.XLOOKUP("*"&amp;Tabela1[[#This Row],[Processo]]&amp;"*",'Árvore de Localização'!$H:$H,'Árvore de Localização'!$G:$G,"0000",2)</f>
        <v>2127.A</v>
      </c>
      <c r="B235" s="38" t="str">
        <f>_xlfn.XLOOKUP(Tabela1[[#This Row],[Processo]],'Árvore de Localização'!$D:$D,'Árvore de Localização'!$B:$B,"",0,1)</f>
        <v>Etanol</v>
      </c>
      <c r="C235" s="42" t="str">
        <f>_xlfn.XLOOKUP(Tabela1[[#This Row],[Processo]],'Árvore de Localização'!$D:$D,'Árvore de Localização'!$C:$C,"",0,1)</f>
        <v>Armazenamento e Expedição de Etanol</v>
      </c>
      <c r="D235" s="39" t="s">
        <v>169</v>
      </c>
      <c r="E235" s="22" t="s">
        <v>15</v>
      </c>
      <c r="F235" s="22">
        <v>1</v>
      </c>
      <c r="G235" s="101"/>
      <c r="H235" s="101"/>
      <c r="I235" s="112"/>
      <c r="J235" s="119"/>
      <c r="K235" s="52" t="str">
        <f>IF(OR(Tabela1[[#This Row],[Replan]]="",Tabela1[[#This Row],[Previsto (LB)]]=""),"",Tabela1[[#This Row],[Previsto (LB)]]-Tabela1[[#This Row],[Replan]])</f>
        <v/>
      </c>
      <c r="L235" s="20" t="s">
        <v>662</v>
      </c>
      <c r="M235" s="21"/>
      <c r="N235" s="21"/>
      <c r="O235" s="19"/>
      <c r="P235" s="19"/>
      <c r="Q235" s="19"/>
      <c r="R235" s="105"/>
      <c r="S235" s="38">
        <f t="shared" si="15"/>
        <v>3</v>
      </c>
      <c r="T235" s="24"/>
    </row>
    <row r="236" spans="1:20" s="11" customFormat="1" ht="12.5" x14ac:dyDescent="0.35">
      <c r="A236" s="18" t="str">
        <f>_xlfn.XLOOKUP("*"&amp;Tabela1[[#This Row],[Processo]]&amp;"*",'Árvore de Localização'!$H:$H,'Árvore de Localização'!$G:$G,"0000",2)</f>
        <v>2127.A</v>
      </c>
      <c r="B236" s="38" t="str">
        <f>_xlfn.XLOOKUP(Tabela1[[#This Row],[Processo]],'Árvore de Localização'!$D:$D,'Árvore de Localização'!$B:$B,"",0,1)</f>
        <v>Etanol</v>
      </c>
      <c r="C236" s="42" t="str">
        <f>_xlfn.XLOOKUP(Tabela1[[#This Row],[Processo]],'Árvore de Localização'!$D:$D,'Árvore de Localização'!$C:$C,"",0,1)</f>
        <v>Armazenamento e Expedição de Etanol</v>
      </c>
      <c r="D236" s="39" t="s">
        <v>169</v>
      </c>
      <c r="E236" s="22" t="s">
        <v>15</v>
      </c>
      <c r="F236" s="22">
        <v>1</v>
      </c>
      <c r="G236" s="101"/>
      <c r="H236" s="101"/>
      <c r="I236" s="112"/>
      <c r="J236" s="119"/>
      <c r="K236" s="52" t="str">
        <f>IF(OR(Tabela1[[#This Row],[Replan]]="",Tabela1[[#This Row],[Previsto (LB)]]=""),"",Tabela1[[#This Row],[Previsto (LB)]]-Tabela1[[#This Row],[Replan]])</f>
        <v/>
      </c>
      <c r="L236" s="20" t="s">
        <v>1630</v>
      </c>
      <c r="M236" s="21"/>
      <c r="N236" s="21"/>
      <c r="O236" s="19"/>
      <c r="P236" s="19"/>
      <c r="Q236" s="19"/>
      <c r="R236" s="105"/>
      <c r="S236" s="38">
        <f>IF(R236="Não iniciado",1,IF(R236="Em andamento",2,3))</f>
        <v>3</v>
      </c>
      <c r="T236" s="27"/>
    </row>
    <row r="237" spans="1:20" s="11" customFormat="1" ht="12.5" x14ac:dyDescent="0.35">
      <c r="A237" s="18" t="str">
        <f>_xlfn.XLOOKUP("*"&amp;Tabela1[[#This Row],[Processo]]&amp;"*",'Árvore de Localização'!$H:$H,'Árvore de Localização'!$G:$G,"0000",2)</f>
        <v>2127.A</v>
      </c>
      <c r="B237" s="38" t="str">
        <f>_xlfn.XLOOKUP(Tabela1[[#This Row],[Processo]],'Árvore de Localização'!$D:$D,'Árvore de Localização'!$B:$B,"",0,1)</f>
        <v>Etanol</v>
      </c>
      <c r="C237" s="42" t="str">
        <f>_xlfn.XLOOKUP(Tabela1[[#This Row],[Processo]],'Árvore de Localização'!$D:$D,'Árvore de Localização'!$C:$C,"",0,1)</f>
        <v>Armazenamento e Expedição de Etanol</v>
      </c>
      <c r="D237" s="39" t="s">
        <v>169</v>
      </c>
      <c r="E237" s="22" t="s">
        <v>15</v>
      </c>
      <c r="F237" s="22">
        <v>1</v>
      </c>
      <c r="G237" s="101"/>
      <c r="H237" s="101"/>
      <c r="I237" s="112"/>
      <c r="J237" s="119"/>
      <c r="K237" s="52" t="str">
        <f>IF(OR(Tabela1[[#This Row],[Replan]]="",Tabela1[[#This Row],[Previsto (LB)]]=""),"",Tabela1[[#This Row],[Previsto (LB)]]-Tabela1[[#This Row],[Replan]])</f>
        <v/>
      </c>
      <c r="L237" s="20" t="s">
        <v>663</v>
      </c>
      <c r="M237" s="21"/>
      <c r="N237" s="21"/>
      <c r="O237" s="19"/>
      <c r="P237" s="19"/>
      <c r="Q237" s="19"/>
      <c r="R237" s="105"/>
      <c r="S237" s="38">
        <f>IF(R237="Não iniciado",1,IF(R237="Em andamento",2,3))</f>
        <v>3</v>
      </c>
      <c r="T237" s="27"/>
    </row>
    <row r="238" spans="1:20" s="11" customFormat="1" ht="12.5" x14ac:dyDescent="0.35">
      <c r="A238" s="18" t="str">
        <f>_xlfn.XLOOKUP("*"&amp;Tabela1[[#This Row],[Processo]]&amp;"*",'Árvore de Localização'!$H:$H,'Árvore de Localização'!$G:$G,"0000",2)</f>
        <v>2127.A</v>
      </c>
      <c r="B238" s="38" t="str">
        <f>_xlfn.XLOOKUP(Tabela1[[#This Row],[Processo]],'Árvore de Localização'!$D:$D,'Árvore de Localização'!$B:$B,"",0,1)</f>
        <v>Etanol</v>
      </c>
      <c r="C238" s="42" t="str">
        <f>_xlfn.XLOOKUP(Tabela1[[#This Row],[Processo]],'Árvore de Localização'!$D:$D,'Árvore de Localização'!$C:$C,"",0,1)</f>
        <v>Armazenamento e Expedição de Etanol</v>
      </c>
      <c r="D238" s="39" t="s">
        <v>169</v>
      </c>
      <c r="E238" s="22" t="s">
        <v>15</v>
      </c>
      <c r="F238" s="22">
        <v>1</v>
      </c>
      <c r="G238" s="101"/>
      <c r="H238" s="101"/>
      <c r="I238" s="112"/>
      <c r="J238" s="119"/>
      <c r="K238" s="52" t="str">
        <f>IF(OR(Tabela1[[#This Row],[Replan]]="",Tabela1[[#This Row],[Previsto (LB)]]=""),"",Tabela1[[#This Row],[Previsto (LB)]]-Tabela1[[#This Row],[Replan]])</f>
        <v/>
      </c>
      <c r="L238" s="20" t="s">
        <v>1631</v>
      </c>
      <c r="M238" s="21"/>
      <c r="N238" s="21"/>
      <c r="O238" s="19"/>
      <c r="P238" s="19"/>
      <c r="Q238" s="19"/>
      <c r="R238" s="105"/>
      <c r="S238" s="38">
        <f>IF(R238="Não iniciado",1,IF(R238="Em andamento",2,3))</f>
        <v>3</v>
      </c>
      <c r="T238" s="27"/>
    </row>
    <row r="239" spans="1:20" s="11" customFormat="1" ht="12.5" x14ac:dyDescent="0.35">
      <c r="A239" s="18" t="str">
        <f>_xlfn.XLOOKUP("*"&amp;Tabela1[[#This Row],[Processo]]&amp;"*",'Árvore de Localização'!$H:$H,'Árvore de Localização'!$G:$G,"0000",2)</f>
        <v>2127.C</v>
      </c>
      <c r="B239" s="38" t="str">
        <f>_xlfn.XLOOKUP(Tabela1[[#This Row],[Processo]],'Árvore de Localização'!$D:$D,'Árvore de Localização'!$B:$B,"",0,1)</f>
        <v>Etanol</v>
      </c>
      <c r="C239" s="42" t="str">
        <f>_xlfn.XLOOKUP(Tabela1[[#This Row],[Processo]],'Árvore de Localização'!$D:$D,'Árvore de Localização'!$C:$C,"",0,1)</f>
        <v>Armazenamento e Expedição de Etanol</v>
      </c>
      <c r="D239" s="39" t="s">
        <v>18</v>
      </c>
      <c r="E239" s="22" t="s">
        <v>18</v>
      </c>
      <c r="F239" s="22" t="s">
        <v>43</v>
      </c>
      <c r="G239" s="101"/>
      <c r="H239" s="101"/>
      <c r="I239" s="112"/>
      <c r="J239" s="119"/>
      <c r="K239" s="52" t="str">
        <f>IF(OR(Tabela1[[#This Row],[Replan]]="",Tabela1[[#This Row],[Previsto (LB)]]=""),"",Tabela1[[#This Row],[Previsto (LB)]]-Tabela1[[#This Row],[Replan]])</f>
        <v/>
      </c>
      <c r="L239" s="20" t="s">
        <v>1632</v>
      </c>
      <c r="M239" s="25"/>
      <c r="N239" s="21"/>
      <c r="O239" s="19"/>
      <c r="P239" s="19"/>
      <c r="Q239" s="19"/>
      <c r="R239" s="105"/>
      <c r="S239" s="38">
        <f t="shared" si="15"/>
        <v>3</v>
      </c>
      <c r="T239" s="24"/>
    </row>
    <row r="240" spans="1:20" s="11" customFormat="1" ht="12.5" x14ac:dyDescent="0.35">
      <c r="A240" s="18" t="str">
        <f>_xlfn.XLOOKUP("*"&amp;Tabela1[[#This Row],[Processo]]&amp;"*",'Árvore de Localização'!$H:$H,'Árvore de Localização'!$G:$G,"0000",2)</f>
        <v>2127.C</v>
      </c>
      <c r="B240" s="38" t="str">
        <f>_xlfn.XLOOKUP(Tabela1[[#This Row],[Processo]],'Árvore de Localização'!$D:$D,'Árvore de Localização'!$B:$B,"",0,1)</f>
        <v>Etanol</v>
      </c>
      <c r="C240" s="42" t="str">
        <f>_xlfn.XLOOKUP(Tabela1[[#This Row],[Processo]],'Árvore de Localização'!$D:$D,'Árvore de Localização'!$C:$C,"",0,1)</f>
        <v>Armazenamento e Expedição de Etanol</v>
      </c>
      <c r="D240" s="39" t="s">
        <v>18</v>
      </c>
      <c r="E240" s="22" t="s">
        <v>18</v>
      </c>
      <c r="F240" s="22" t="s">
        <v>43</v>
      </c>
      <c r="G240" s="101"/>
      <c r="H240" s="101"/>
      <c r="I240" s="112"/>
      <c r="J240" s="119"/>
      <c r="K240" s="52" t="str">
        <f>IF(OR(Tabela1[[#This Row],[Replan]]="",Tabela1[[#This Row],[Previsto (LB)]]=""),"",Tabela1[[#This Row],[Previsto (LB)]]-Tabela1[[#This Row],[Replan]])</f>
        <v/>
      </c>
      <c r="L240" s="20" t="s">
        <v>1633</v>
      </c>
      <c r="M240" s="21"/>
      <c r="N240" s="21"/>
      <c r="O240" s="19"/>
      <c r="P240" s="19"/>
      <c r="Q240" s="19"/>
      <c r="R240" s="105"/>
      <c r="S240" s="38">
        <f t="shared" si="15"/>
        <v>3</v>
      </c>
      <c r="T240" s="24"/>
    </row>
    <row r="241" spans="1:20" s="11" customFormat="1" ht="12.5" x14ac:dyDescent="0.35">
      <c r="A241" s="18" t="str">
        <f>_xlfn.XLOOKUP("*"&amp;Tabela1[[#This Row],[Processo]]&amp;"*",'Árvore de Localização'!$H:$H,'Árvore de Localização'!$G:$G,"0000",2)</f>
        <v>2127.C</v>
      </c>
      <c r="B241" s="38" t="str">
        <f>_xlfn.XLOOKUP(Tabela1[[#This Row],[Processo]],'Árvore de Localização'!$D:$D,'Árvore de Localização'!$B:$B,"",0,1)</f>
        <v>Etanol</v>
      </c>
      <c r="C241" s="42" t="str">
        <f>_xlfn.XLOOKUP(Tabela1[[#This Row],[Processo]],'Árvore de Localização'!$D:$D,'Árvore de Localização'!$C:$C,"",0,1)</f>
        <v>Armazenamento e Expedição de Etanol</v>
      </c>
      <c r="D241" s="39" t="s">
        <v>18</v>
      </c>
      <c r="E241" s="22" t="s">
        <v>18</v>
      </c>
      <c r="F241" s="22" t="s">
        <v>43</v>
      </c>
      <c r="G241" s="101"/>
      <c r="H241" s="101"/>
      <c r="I241" s="112"/>
      <c r="J241" s="119"/>
      <c r="K241" s="52" t="str">
        <f>IF(OR(Tabela1[[#This Row],[Replan]]="",Tabela1[[#This Row],[Previsto (LB)]]=""),"",Tabela1[[#This Row],[Previsto (LB)]]-Tabela1[[#This Row],[Replan]])</f>
        <v/>
      </c>
      <c r="L241" s="20" t="s">
        <v>669</v>
      </c>
      <c r="M241" s="21"/>
      <c r="N241" s="21"/>
      <c r="O241" s="19"/>
      <c r="P241" s="19"/>
      <c r="Q241" s="19"/>
      <c r="R241" s="105"/>
      <c r="S241" s="38">
        <f t="shared" si="15"/>
        <v>3</v>
      </c>
      <c r="T241" s="24"/>
    </row>
    <row r="242" spans="1:20" s="11" customFormat="1" ht="12.5" x14ac:dyDescent="0.35">
      <c r="A242" s="18" t="str">
        <f>_xlfn.XLOOKUP("*"&amp;Tabela1[[#This Row],[Processo]]&amp;"*",'Árvore de Localização'!$H:$H,'Árvore de Localização'!$G:$G,"0000",2)</f>
        <v>2127.C</v>
      </c>
      <c r="B242" s="38" t="str">
        <f>_xlfn.XLOOKUP(Tabela1[[#This Row],[Processo]],'Árvore de Localização'!$D:$D,'Árvore de Localização'!$B:$B,"",0,1)</f>
        <v>Etanol</v>
      </c>
      <c r="C242" s="42" t="str">
        <f>_xlfn.XLOOKUP(Tabela1[[#This Row],[Processo]],'Árvore de Localização'!$D:$D,'Árvore de Localização'!$C:$C,"",0,1)</f>
        <v>Armazenamento e Expedição de Etanol</v>
      </c>
      <c r="D242" s="39" t="s">
        <v>18</v>
      </c>
      <c r="E242" s="22" t="s">
        <v>18</v>
      </c>
      <c r="F242" s="22" t="s">
        <v>43</v>
      </c>
      <c r="G242" s="101"/>
      <c r="H242" s="101"/>
      <c r="I242" s="112"/>
      <c r="J242" s="119"/>
      <c r="K242" s="52" t="str">
        <f>IF(OR(Tabela1[[#This Row],[Replan]]="",Tabela1[[#This Row],[Previsto (LB)]]=""),"",Tabela1[[#This Row],[Previsto (LB)]]-Tabela1[[#This Row],[Replan]])</f>
        <v/>
      </c>
      <c r="L242" s="20" t="s">
        <v>664</v>
      </c>
      <c r="M242" s="21"/>
      <c r="N242" s="21"/>
      <c r="O242" s="19"/>
      <c r="P242" s="19"/>
      <c r="Q242" s="19"/>
      <c r="R242" s="105"/>
      <c r="S242" s="38">
        <f t="shared" si="15"/>
        <v>3</v>
      </c>
      <c r="T242" s="24"/>
    </row>
    <row r="243" spans="1:20" s="11" customFormat="1" ht="12.5" x14ac:dyDescent="0.35">
      <c r="A243" s="18" t="str">
        <f>_xlfn.XLOOKUP("*"&amp;Tabela1[[#This Row],[Processo]]&amp;"*",'Árvore de Localização'!$H:$H,'Árvore de Localização'!$G:$G,"0000",2)</f>
        <v>2127.C</v>
      </c>
      <c r="B243" s="38" t="str">
        <f>_xlfn.XLOOKUP(Tabela1[[#This Row],[Processo]],'Árvore de Localização'!$D:$D,'Árvore de Localização'!$B:$B,"",0,1)</f>
        <v>Etanol</v>
      </c>
      <c r="C243" s="42" t="str">
        <f>_xlfn.XLOOKUP(Tabela1[[#This Row],[Processo]],'Árvore de Localização'!$D:$D,'Árvore de Localização'!$C:$C,"",0,1)</f>
        <v>Armazenamento e Expedição de Etanol</v>
      </c>
      <c r="D243" s="39" t="s">
        <v>18</v>
      </c>
      <c r="E243" s="22" t="s">
        <v>18</v>
      </c>
      <c r="F243" s="22" t="s">
        <v>43</v>
      </c>
      <c r="G243" s="101"/>
      <c r="H243" s="101"/>
      <c r="I243" s="112"/>
      <c r="J243" s="119"/>
      <c r="K243" s="52" t="str">
        <f>IF(OR(Tabela1[[#This Row],[Replan]]="",Tabela1[[#This Row],[Previsto (LB)]]=""),"",Tabela1[[#This Row],[Previsto (LB)]]-Tabela1[[#This Row],[Replan]])</f>
        <v/>
      </c>
      <c r="L243" s="20" t="s">
        <v>1634</v>
      </c>
      <c r="M243" s="21"/>
      <c r="N243" s="21"/>
      <c r="O243" s="19"/>
      <c r="P243" s="19"/>
      <c r="Q243" s="19"/>
      <c r="R243" s="105"/>
      <c r="S243" s="38">
        <f>IF(R243="Não iniciado",1,IF(R243="Em andamento",2,3))</f>
        <v>3</v>
      </c>
      <c r="T243" s="27"/>
    </row>
    <row r="244" spans="1:20" s="11" customFormat="1" ht="12.5" x14ac:dyDescent="0.35">
      <c r="A244" s="18" t="str">
        <f>_xlfn.XLOOKUP("*"&amp;Tabela1[[#This Row],[Processo]]&amp;"*",'Árvore de Localização'!$H:$H,'Árvore de Localização'!$G:$G,"0000",2)</f>
        <v>2127.C</v>
      </c>
      <c r="B244" s="38" t="str">
        <f>_xlfn.XLOOKUP(Tabela1[[#This Row],[Processo]],'Árvore de Localização'!$D:$D,'Árvore de Localização'!$B:$B,"",0,1)</f>
        <v>Etanol</v>
      </c>
      <c r="C244" s="42" t="str">
        <f>_xlfn.XLOOKUP(Tabela1[[#This Row],[Processo]],'Árvore de Localização'!$D:$D,'Árvore de Localização'!$C:$C,"",0,1)</f>
        <v>Armazenamento e Expedição de Etanol</v>
      </c>
      <c r="D244" s="39" t="s">
        <v>18</v>
      </c>
      <c r="E244" s="22" t="s">
        <v>18</v>
      </c>
      <c r="F244" s="22" t="s">
        <v>43</v>
      </c>
      <c r="G244" s="101"/>
      <c r="H244" s="101"/>
      <c r="I244" s="112"/>
      <c r="J244" s="119"/>
      <c r="K244" s="52" t="str">
        <f>IF(OR(Tabela1[[#This Row],[Replan]]="",Tabela1[[#This Row],[Previsto (LB)]]=""),"",Tabela1[[#This Row],[Previsto (LB)]]-Tabela1[[#This Row],[Replan]])</f>
        <v/>
      </c>
      <c r="L244" s="20" t="s">
        <v>1636</v>
      </c>
      <c r="M244" s="21"/>
      <c r="N244" s="21"/>
      <c r="O244" s="19"/>
      <c r="P244" s="19"/>
      <c r="Q244" s="19"/>
      <c r="R244" s="105"/>
      <c r="S244" s="38">
        <f>IF(R244="Não iniciado",1,IF(R244="Em andamento",2,3))</f>
        <v>3</v>
      </c>
      <c r="T244" s="27"/>
    </row>
    <row r="245" spans="1:20" s="11" customFormat="1" ht="12.5" x14ac:dyDescent="0.35">
      <c r="A245" s="18" t="str">
        <f>_xlfn.XLOOKUP("*"&amp;Tabela1[[#This Row],[Processo]]&amp;"*",'Árvore de Localização'!$H:$H,'Árvore de Localização'!$G:$G,"0000",2)</f>
        <v>2127.C</v>
      </c>
      <c r="B245" s="38" t="str">
        <f>_xlfn.XLOOKUP(Tabela1[[#This Row],[Processo]],'Árvore de Localização'!$D:$D,'Árvore de Localização'!$B:$B,"",0,1)</f>
        <v>Etanol</v>
      </c>
      <c r="C245" s="42" t="str">
        <f>_xlfn.XLOOKUP(Tabela1[[#This Row],[Processo]],'Árvore de Localização'!$D:$D,'Árvore de Localização'!$C:$C,"",0,1)</f>
        <v>Armazenamento e Expedição de Etanol</v>
      </c>
      <c r="D245" s="39" t="s">
        <v>18</v>
      </c>
      <c r="E245" s="22" t="s">
        <v>18</v>
      </c>
      <c r="F245" s="22" t="s">
        <v>43</v>
      </c>
      <c r="G245" s="101"/>
      <c r="H245" s="101"/>
      <c r="I245" s="112"/>
      <c r="J245" s="119"/>
      <c r="K245" s="52" t="str">
        <f>IF(OR(Tabela1[[#This Row],[Replan]]="",Tabela1[[#This Row],[Previsto (LB)]]=""),"",Tabela1[[#This Row],[Previsto (LB)]]-Tabela1[[#This Row],[Replan]])</f>
        <v/>
      </c>
      <c r="L245" s="20" t="s">
        <v>1635</v>
      </c>
      <c r="M245" s="21"/>
      <c r="N245" s="21"/>
      <c r="O245" s="19"/>
      <c r="P245" s="19"/>
      <c r="Q245" s="19"/>
      <c r="R245" s="105"/>
      <c r="S245" s="38">
        <f>IF(R245="Não iniciado",1,IF(R245="Em andamento",2,3))</f>
        <v>3</v>
      </c>
      <c r="T245" s="27"/>
    </row>
    <row r="246" spans="1:20" s="11" customFormat="1" ht="12.5" x14ac:dyDescent="0.35">
      <c r="A246" s="18" t="str">
        <f>_xlfn.XLOOKUP("*"&amp;Tabela1[[#This Row],[Processo]]&amp;"*",'Árvore de Localização'!$H:$H,'Árvore de Localização'!$G:$G,"0000",2)</f>
        <v>2120.B</v>
      </c>
      <c r="B246" s="38" t="str">
        <f>_xlfn.XLOOKUP(Tabela1[[#This Row],[Processo]],'Árvore de Localização'!$D:$D,'Árvore de Localização'!$B:$B,"",0,1)</f>
        <v>DDGSeÓleo</v>
      </c>
      <c r="C246" s="42" t="str">
        <f>_xlfn.XLOOKUP(Tabela1[[#This Row],[Processo]],'Árvore de Localização'!$D:$D,'Árvore de Localização'!$C:$C,"",0,1)</f>
        <v>Fábrica de Óleo</v>
      </c>
      <c r="D246" s="39" t="s">
        <v>206</v>
      </c>
      <c r="E246" s="22" t="s">
        <v>14</v>
      </c>
      <c r="F246" s="22" t="s">
        <v>43</v>
      </c>
      <c r="G246" s="101"/>
      <c r="H246" s="101"/>
      <c r="I246" s="112"/>
      <c r="J246" s="119"/>
      <c r="K246" s="52" t="str">
        <f>IF(OR(Tabela1[[#This Row],[Replan]]="",Tabela1[[#This Row],[Previsto (LB)]]=""),"",Tabela1[[#This Row],[Previsto (LB)]]-Tabela1[[#This Row],[Replan]])</f>
        <v/>
      </c>
      <c r="L246" s="20" t="s">
        <v>796</v>
      </c>
      <c r="M246" s="25"/>
      <c r="N246" s="21"/>
      <c r="O246" s="19"/>
      <c r="P246" s="19"/>
      <c r="Q246" s="19"/>
      <c r="R246" s="105"/>
      <c r="S246" s="38">
        <f t="shared" si="15"/>
        <v>3</v>
      </c>
      <c r="T246" s="24"/>
    </row>
    <row r="247" spans="1:20" s="11" customFormat="1" ht="12.5" x14ac:dyDescent="0.35">
      <c r="A247" s="18" t="str">
        <f>_xlfn.XLOOKUP("*"&amp;Tabela1[[#This Row],[Processo]]&amp;"*",'Árvore de Localização'!$H:$H,'Árvore de Localização'!$G:$G,"0000",2)</f>
        <v>2120.B</v>
      </c>
      <c r="B247" s="38" t="str">
        <f>_xlfn.XLOOKUP(Tabela1[[#This Row],[Processo]],'Árvore de Localização'!$D:$D,'Árvore de Localização'!$B:$B,"",0,1)</f>
        <v>DDGSeÓleo</v>
      </c>
      <c r="C247" s="42" t="str">
        <f>_xlfn.XLOOKUP(Tabela1[[#This Row],[Processo]],'Árvore de Localização'!$D:$D,'Árvore de Localização'!$C:$C,"",0,1)</f>
        <v>Fábrica de Óleo</v>
      </c>
      <c r="D247" s="39" t="s">
        <v>206</v>
      </c>
      <c r="E247" s="22" t="s">
        <v>14</v>
      </c>
      <c r="F247" s="22" t="s">
        <v>43</v>
      </c>
      <c r="G247" s="101"/>
      <c r="H247" s="101"/>
      <c r="I247" s="112"/>
      <c r="J247" s="119"/>
      <c r="K247" s="52" t="str">
        <f>IF(OR(Tabela1[[#This Row],[Replan]]="",Tabela1[[#This Row],[Previsto (LB)]]=""),"",Tabela1[[#This Row],[Previsto (LB)]]-Tabela1[[#This Row],[Replan]])</f>
        <v/>
      </c>
      <c r="L247" s="20" t="s">
        <v>797</v>
      </c>
      <c r="M247" s="21"/>
      <c r="N247" s="21"/>
      <c r="O247" s="19"/>
      <c r="P247" s="19"/>
      <c r="Q247" s="19"/>
      <c r="R247" s="105"/>
      <c r="S247" s="38">
        <f t="shared" si="15"/>
        <v>3</v>
      </c>
      <c r="T247" s="24"/>
    </row>
    <row r="248" spans="1:20" s="11" customFormat="1" ht="12.5" x14ac:dyDescent="0.35">
      <c r="A248" s="18" t="str">
        <f>_xlfn.XLOOKUP("*"&amp;Tabela1[[#This Row],[Processo]]&amp;"*",'Árvore de Localização'!$H:$H,'Árvore de Localização'!$G:$G,"0000",2)</f>
        <v>2120.B</v>
      </c>
      <c r="B248" s="38" t="str">
        <f>_xlfn.XLOOKUP(Tabela1[[#This Row],[Processo]],'Árvore de Localização'!$D:$D,'Árvore de Localização'!$B:$B,"",0,1)</f>
        <v>DDGSeÓleo</v>
      </c>
      <c r="C248" s="42" t="str">
        <f>_xlfn.XLOOKUP(Tabela1[[#This Row],[Processo]],'Árvore de Localização'!$D:$D,'Árvore de Localização'!$C:$C,"",0,1)</f>
        <v>Fábrica de Óleo</v>
      </c>
      <c r="D248" s="39" t="s">
        <v>206</v>
      </c>
      <c r="E248" s="22" t="s">
        <v>14</v>
      </c>
      <c r="F248" s="22" t="s">
        <v>43</v>
      </c>
      <c r="G248" s="101"/>
      <c r="H248" s="101"/>
      <c r="I248" s="112"/>
      <c r="J248" s="119"/>
      <c r="K248" s="52" t="str">
        <f>IF(OR(Tabela1[[#This Row],[Replan]]="",Tabela1[[#This Row],[Previsto (LB)]]=""),"",Tabela1[[#This Row],[Previsto (LB)]]-Tabela1[[#This Row],[Replan]])</f>
        <v/>
      </c>
      <c r="L248" s="20" t="s">
        <v>811</v>
      </c>
      <c r="M248" s="21"/>
      <c r="N248" s="21"/>
      <c r="O248" s="19"/>
      <c r="P248" s="19"/>
      <c r="Q248" s="19"/>
      <c r="R248" s="105"/>
      <c r="S248" s="38">
        <f t="shared" si="15"/>
        <v>3</v>
      </c>
      <c r="T248" s="24"/>
    </row>
    <row r="249" spans="1:20" s="11" customFormat="1" ht="12.5" x14ac:dyDescent="0.35">
      <c r="A249" s="18" t="str">
        <f>_xlfn.XLOOKUP("*"&amp;Tabela1[[#This Row],[Processo]]&amp;"*",'Árvore de Localização'!$H:$H,'Árvore de Localização'!$G:$G,"0000",2)</f>
        <v>2120.B</v>
      </c>
      <c r="B249" s="38" t="str">
        <f>_xlfn.XLOOKUP(Tabela1[[#This Row],[Processo]],'Árvore de Localização'!$D:$D,'Árvore de Localização'!$B:$B,"",0,1)</f>
        <v>DDGSeÓleo</v>
      </c>
      <c r="C249" s="42" t="str">
        <f>_xlfn.XLOOKUP(Tabela1[[#This Row],[Processo]],'Árvore de Localização'!$D:$D,'Árvore de Localização'!$C:$C,"",0,1)</f>
        <v>Fábrica de Óleo</v>
      </c>
      <c r="D249" s="39" t="s">
        <v>206</v>
      </c>
      <c r="E249" s="22" t="s">
        <v>14</v>
      </c>
      <c r="F249" s="22" t="s">
        <v>43</v>
      </c>
      <c r="G249" s="101"/>
      <c r="H249" s="101"/>
      <c r="I249" s="112"/>
      <c r="J249" s="119"/>
      <c r="K249" s="52" t="str">
        <f>IF(OR(Tabela1[[#This Row],[Replan]]="",Tabela1[[#This Row],[Previsto (LB)]]=""),"",Tabela1[[#This Row],[Previsto (LB)]]-Tabela1[[#This Row],[Replan]])</f>
        <v/>
      </c>
      <c r="L249" s="20" t="s">
        <v>804</v>
      </c>
      <c r="M249" s="21"/>
      <c r="N249" s="21"/>
      <c r="O249" s="19"/>
      <c r="P249" s="19"/>
      <c r="Q249" s="19"/>
      <c r="R249" s="105"/>
      <c r="S249" s="38">
        <f t="shared" si="15"/>
        <v>3</v>
      </c>
      <c r="T249" s="24"/>
    </row>
    <row r="250" spans="1:20" s="11" customFormat="1" ht="12.5" x14ac:dyDescent="0.35">
      <c r="A250" s="18" t="str">
        <f>_xlfn.XLOOKUP("*"&amp;Tabela1[[#This Row],[Processo]]&amp;"*",'Árvore de Localização'!$H:$H,'Árvore de Localização'!$G:$G,"0000",2)</f>
        <v>2120.B</v>
      </c>
      <c r="B250" s="38" t="str">
        <f>_xlfn.XLOOKUP(Tabela1[[#This Row],[Processo]],'Árvore de Localização'!$D:$D,'Árvore de Localização'!$B:$B,"",0,1)</f>
        <v>DDGSeÓleo</v>
      </c>
      <c r="C250" s="42" t="str">
        <f>_xlfn.XLOOKUP(Tabela1[[#This Row],[Processo]],'Árvore de Localização'!$D:$D,'Árvore de Localização'!$C:$C,"",0,1)</f>
        <v>Fábrica de Óleo</v>
      </c>
      <c r="D250" s="39" t="s">
        <v>206</v>
      </c>
      <c r="E250" s="22" t="s">
        <v>14</v>
      </c>
      <c r="F250" s="22" t="s">
        <v>43</v>
      </c>
      <c r="G250" s="101"/>
      <c r="H250" s="101"/>
      <c r="I250" s="112"/>
      <c r="J250" s="119"/>
      <c r="K250" s="52" t="str">
        <f>IF(OR(Tabela1[[#This Row],[Replan]]="",Tabela1[[#This Row],[Previsto (LB)]]=""),"",Tabela1[[#This Row],[Previsto (LB)]]-Tabela1[[#This Row],[Replan]])</f>
        <v/>
      </c>
      <c r="L250" s="20" t="s">
        <v>798</v>
      </c>
      <c r="M250" s="21"/>
      <c r="N250" s="21"/>
      <c r="O250" s="19"/>
      <c r="P250" s="19"/>
      <c r="Q250" s="19"/>
      <c r="R250" s="105"/>
      <c r="S250" s="38">
        <f>IF(R250="Não iniciado",1,IF(R250="Em andamento",2,3))</f>
        <v>3</v>
      </c>
      <c r="T250" s="27"/>
    </row>
    <row r="251" spans="1:20" s="11" customFormat="1" ht="12.5" x14ac:dyDescent="0.35">
      <c r="A251" s="18" t="str">
        <f>_xlfn.XLOOKUP("*"&amp;Tabela1[[#This Row],[Processo]]&amp;"*",'Árvore de Localização'!$H:$H,'Árvore de Localização'!$G:$G,"0000",2)</f>
        <v>2120.B</v>
      </c>
      <c r="B251" s="38" t="str">
        <f>_xlfn.XLOOKUP(Tabela1[[#This Row],[Processo]],'Árvore de Localização'!$D:$D,'Árvore de Localização'!$B:$B,"",0,1)</f>
        <v>DDGSeÓleo</v>
      </c>
      <c r="C251" s="42" t="str">
        <f>_xlfn.XLOOKUP(Tabela1[[#This Row],[Processo]],'Árvore de Localização'!$D:$D,'Árvore de Localização'!$C:$C,"",0,1)</f>
        <v>Fábrica de Óleo</v>
      </c>
      <c r="D251" s="39" t="s">
        <v>206</v>
      </c>
      <c r="E251" s="22" t="s">
        <v>14</v>
      </c>
      <c r="F251" s="22" t="s">
        <v>43</v>
      </c>
      <c r="G251" s="101"/>
      <c r="H251" s="101"/>
      <c r="I251" s="112"/>
      <c r="J251" s="119"/>
      <c r="K251" s="52" t="str">
        <f>IF(OR(Tabela1[[#This Row],[Replan]]="",Tabela1[[#This Row],[Previsto (LB)]]=""),"",Tabela1[[#This Row],[Previsto (LB)]]-Tabela1[[#This Row],[Replan]])</f>
        <v/>
      </c>
      <c r="L251" s="20" t="s">
        <v>805</v>
      </c>
      <c r="M251" s="21"/>
      <c r="N251" s="21"/>
      <c r="O251" s="19"/>
      <c r="P251" s="19"/>
      <c r="Q251" s="19"/>
      <c r="R251" s="105"/>
      <c r="S251" s="38">
        <f>IF(R251="Não iniciado",1,IF(R251="Em andamento",2,3))</f>
        <v>3</v>
      </c>
      <c r="T251" s="27"/>
    </row>
    <row r="252" spans="1:20" s="11" customFormat="1" ht="12.5" x14ac:dyDescent="0.35">
      <c r="A252" s="18" t="str">
        <f>_xlfn.XLOOKUP("*"&amp;Tabela1[[#This Row],[Processo]]&amp;"*",'Árvore de Localização'!$H:$H,'Árvore de Localização'!$G:$G,"0000",2)</f>
        <v>2120.B</v>
      </c>
      <c r="B252" s="38" t="str">
        <f>_xlfn.XLOOKUP(Tabela1[[#This Row],[Processo]],'Árvore de Localização'!$D:$D,'Árvore de Localização'!$B:$B,"",0,1)</f>
        <v>DDGSeÓleo</v>
      </c>
      <c r="C252" s="42" t="str">
        <f>_xlfn.XLOOKUP(Tabela1[[#This Row],[Processo]],'Árvore de Localização'!$D:$D,'Árvore de Localização'!$C:$C,"",0,1)</f>
        <v>Fábrica de Óleo</v>
      </c>
      <c r="D252" s="39" t="s">
        <v>206</v>
      </c>
      <c r="E252" s="22" t="s">
        <v>14</v>
      </c>
      <c r="F252" s="22" t="s">
        <v>43</v>
      </c>
      <c r="G252" s="101"/>
      <c r="H252" s="101"/>
      <c r="I252" s="112"/>
      <c r="J252" s="119"/>
      <c r="K252" s="52" t="str">
        <f>IF(OR(Tabela1[[#This Row],[Replan]]="",Tabela1[[#This Row],[Previsto (LB)]]=""),"",Tabela1[[#This Row],[Previsto (LB)]]-Tabela1[[#This Row],[Replan]])</f>
        <v/>
      </c>
      <c r="L252" s="20" t="s">
        <v>799</v>
      </c>
      <c r="M252" s="21"/>
      <c r="N252" s="21"/>
      <c r="O252" s="19"/>
      <c r="P252" s="19"/>
      <c r="Q252" s="19"/>
      <c r="R252" s="105"/>
      <c r="S252" s="38">
        <f>IF(R252="Não iniciado",1,IF(R252="Em andamento",2,3))</f>
        <v>3</v>
      </c>
      <c r="T252" s="27"/>
    </row>
    <row r="253" spans="1:20" s="11" customFormat="1" ht="12.5" x14ac:dyDescent="0.35">
      <c r="A253" s="18" t="str">
        <f>_xlfn.XLOOKUP("*"&amp;Tabela1[[#This Row],[Processo]]&amp;"*",'Árvore de Localização'!$H:$H,'Árvore de Localização'!$G:$G,"0000",2)</f>
        <v>2123.F</v>
      </c>
      <c r="B253" s="38" t="str">
        <f>_xlfn.XLOOKUP(Tabela1[[#This Row],[Processo]],'Árvore de Localização'!$D:$D,'Árvore de Localização'!$B:$B,"",0,1)</f>
        <v>Administração</v>
      </c>
      <c r="C253" s="42" t="str">
        <f>_xlfn.XLOOKUP(Tabela1[[#This Row],[Processo]],'Árvore de Localização'!$D:$D,'Árvore de Localização'!$C:$C,"",0,1)</f>
        <v>Administração</v>
      </c>
      <c r="D253" s="39" t="s">
        <v>10</v>
      </c>
      <c r="E253" s="22" t="s">
        <v>23</v>
      </c>
      <c r="F253" s="22" t="s">
        <v>43</v>
      </c>
      <c r="G253" s="101"/>
      <c r="H253" s="101"/>
      <c r="I253" s="112"/>
      <c r="J253" s="119"/>
      <c r="K253" s="52" t="str">
        <f>IF(OR(Tabela1[[#This Row],[Replan]]="",Tabela1[[#This Row],[Previsto (LB)]]=""),"",Tabela1[[#This Row],[Previsto (LB)]]-Tabela1[[#This Row],[Replan]])</f>
        <v/>
      </c>
      <c r="L253" s="20" t="s">
        <v>1327</v>
      </c>
      <c r="M253" s="21"/>
      <c r="N253" s="21"/>
      <c r="O253" s="19"/>
      <c r="P253" s="19"/>
      <c r="Q253" s="19"/>
      <c r="R253" s="105"/>
      <c r="S253" s="38">
        <f t="shared" si="15"/>
        <v>3</v>
      </c>
      <c r="T253" s="24"/>
    </row>
    <row r="254" spans="1:20" s="11" customFormat="1" ht="12.5" x14ac:dyDescent="0.35">
      <c r="A254" s="18" t="str">
        <f>_xlfn.XLOOKUP("*"&amp;Tabela1[[#This Row],[Processo]]&amp;"*",'Árvore de Localização'!$H:$H,'Árvore de Localização'!$G:$G,"0000",2)</f>
        <v>2123.F</v>
      </c>
      <c r="B254" s="38" t="str">
        <f>_xlfn.XLOOKUP(Tabela1[[#This Row],[Processo]],'Árvore de Localização'!$D:$D,'Árvore de Localização'!$B:$B,"",0,1)</f>
        <v>Administração</v>
      </c>
      <c r="C254" s="42" t="str">
        <f>_xlfn.XLOOKUP(Tabela1[[#This Row],[Processo]],'Árvore de Localização'!$D:$D,'Árvore de Localização'!$C:$C,"",0,1)</f>
        <v>Administração</v>
      </c>
      <c r="D254" s="39" t="s">
        <v>10</v>
      </c>
      <c r="E254" s="22" t="s">
        <v>23</v>
      </c>
      <c r="F254" s="22" t="s">
        <v>43</v>
      </c>
      <c r="G254" s="101"/>
      <c r="H254" s="101"/>
      <c r="I254" s="112"/>
      <c r="J254" s="119"/>
      <c r="K254" s="52" t="str">
        <f>IF(OR(Tabela1[[#This Row],[Replan]]="",Tabela1[[#This Row],[Previsto (LB)]]=""),"",Tabela1[[#This Row],[Previsto (LB)]]-Tabela1[[#This Row],[Replan]])</f>
        <v/>
      </c>
      <c r="L254" s="20" t="s">
        <v>1339</v>
      </c>
      <c r="M254" s="21"/>
      <c r="N254" s="21"/>
      <c r="O254" s="19"/>
      <c r="P254" s="19"/>
      <c r="Q254" s="19"/>
      <c r="R254" s="105"/>
      <c r="S254" s="38">
        <f t="shared" si="15"/>
        <v>3</v>
      </c>
      <c r="T254" s="24"/>
    </row>
    <row r="255" spans="1:20" s="11" customFormat="1" ht="12.5" x14ac:dyDescent="0.35">
      <c r="A255" s="18" t="str">
        <f>_xlfn.XLOOKUP("*"&amp;Tabela1[[#This Row],[Processo]]&amp;"*",'Árvore de Localização'!$H:$H,'Árvore de Localização'!$G:$G,"0000",2)</f>
        <v>2123.F</v>
      </c>
      <c r="B255" s="38" t="str">
        <f>_xlfn.XLOOKUP(Tabela1[[#This Row],[Processo]],'Árvore de Localização'!$D:$D,'Árvore de Localização'!$B:$B,"",0,1)</f>
        <v>Administração</v>
      </c>
      <c r="C255" s="42" t="str">
        <f>_xlfn.XLOOKUP(Tabela1[[#This Row],[Processo]],'Árvore de Localização'!$D:$D,'Árvore de Localização'!$C:$C,"",0,1)</f>
        <v>Administração</v>
      </c>
      <c r="D255" s="39" t="s">
        <v>10</v>
      </c>
      <c r="E255" s="22" t="s">
        <v>23</v>
      </c>
      <c r="F255" s="22" t="s">
        <v>43</v>
      </c>
      <c r="G255" s="101"/>
      <c r="H255" s="101"/>
      <c r="I255" s="112"/>
      <c r="J255" s="119"/>
      <c r="K255" s="52" t="str">
        <f>IF(OR(Tabela1[[#This Row],[Replan]]="",Tabela1[[#This Row],[Previsto (LB)]]=""),"",Tabela1[[#This Row],[Previsto (LB)]]-Tabela1[[#This Row],[Replan]])</f>
        <v/>
      </c>
      <c r="L255" s="20" t="s">
        <v>1331</v>
      </c>
      <c r="M255" s="21"/>
      <c r="N255" s="21"/>
      <c r="O255" s="19"/>
      <c r="P255" s="19"/>
      <c r="Q255" s="19"/>
      <c r="R255" s="105"/>
      <c r="S255" s="38">
        <f t="shared" si="15"/>
        <v>3</v>
      </c>
      <c r="T255" s="24"/>
    </row>
    <row r="256" spans="1:20" s="11" customFormat="1" ht="12.5" x14ac:dyDescent="0.35">
      <c r="A256" s="18" t="str">
        <f>_xlfn.XLOOKUP("*"&amp;Tabela1[[#This Row],[Processo]]&amp;"*",'Árvore de Localização'!$H:$H,'Árvore de Localização'!$G:$G,"0000",2)</f>
        <v>2123.F</v>
      </c>
      <c r="B256" s="38" t="str">
        <f>_xlfn.XLOOKUP(Tabela1[[#This Row],[Processo]],'Árvore de Localização'!$D:$D,'Árvore de Localização'!$B:$B,"",0,1)</f>
        <v>Administração</v>
      </c>
      <c r="C256" s="42" t="str">
        <f>_xlfn.XLOOKUP(Tabela1[[#This Row],[Processo]],'Árvore de Localização'!$D:$D,'Árvore de Localização'!$C:$C,"",0,1)</f>
        <v>Administração</v>
      </c>
      <c r="D256" s="39" t="s">
        <v>10</v>
      </c>
      <c r="E256" s="22" t="s">
        <v>23</v>
      </c>
      <c r="F256" s="22" t="s">
        <v>43</v>
      </c>
      <c r="G256" s="101"/>
      <c r="H256" s="101"/>
      <c r="I256" s="112"/>
      <c r="J256" s="119"/>
      <c r="K256" s="52" t="str">
        <f>IF(OR(Tabela1[[#This Row],[Replan]]="",Tabela1[[#This Row],[Previsto (LB)]]=""),"",Tabela1[[#This Row],[Previsto (LB)]]-Tabela1[[#This Row],[Replan]])</f>
        <v/>
      </c>
      <c r="L256" s="20" t="s">
        <v>1673</v>
      </c>
      <c r="M256" s="21"/>
      <c r="N256" s="21"/>
      <c r="O256" s="19"/>
      <c r="P256" s="19"/>
      <c r="Q256" s="19"/>
      <c r="R256" s="105"/>
      <c r="S256" s="38">
        <f t="shared" si="15"/>
        <v>3</v>
      </c>
      <c r="T256" s="24"/>
    </row>
    <row r="257" spans="1:20" s="11" customFormat="1" ht="12.5" x14ac:dyDescent="0.35">
      <c r="A257" s="18" t="str">
        <f>_xlfn.XLOOKUP("*"&amp;Tabela1[[#This Row],[Processo]]&amp;"*",'Árvore de Localização'!$H:$H,'Árvore de Localização'!$G:$G,"0000",2)</f>
        <v>2123.F</v>
      </c>
      <c r="B257" s="38" t="str">
        <f>_xlfn.XLOOKUP(Tabela1[[#This Row],[Processo]],'Árvore de Localização'!$D:$D,'Árvore de Localização'!$B:$B,"",0,1)</f>
        <v>Administração</v>
      </c>
      <c r="C257" s="42" t="str">
        <f>_xlfn.XLOOKUP(Tabela1[[#This Row],[Processo]],'Árvore de Localização'!$D:$D,'Árvore de Localização'!$C:$C,"",0,1)</f>
        <v>Administração</v>
      </c>
      <c r="D257" s="39" t="s">
        <v>10</v>
      </c>
      <c r="E257" s="22" t="s">
        <v>23</v>
      </c>
      <c r="F257" s="22" t="s">
        <v>43</v>
      </c>
      <c r="G257" s="101"/>
      <c r="H257" s="101"/>
      <c r="I257" s="112"/>
      <c r="J257" s="119"/>
      <c r="K257" s="52" t="str">
        <f>IF(OR(Tabela1[[#This Row],[Replan]]="",Tabela1[[#This Row],[Previsto (LB)]]=""),"",Tabela1[[#This Row],[Previsto (LB)]]-Tabela1[[#This Row],[Replan]])</f>
        <v/>
      </c>
      <c r="L257" s="20" t="s">
        <v>1332</v>
      </c>
      <c r="M257" s="21"/>
      <c r="N257" s="21"/>
      <c r="O257" s="19"/>
      <c r="P257" s="19"/>
      <c r="Q257" s="19"/>
      <c r="R257" s="105"/>
      <c r="S257" s="38">
        <f>IF(R257="Não iniciado",1,IF(R257="Em andamento",2,3))</f>
        <v>3</v>
      </c>
      <c r="T257" s="27"/>
    </row>
    <row r="258" spans="1:20" s="11" customFormat="1" ht="12.5" x14ac:dyDescent="0.35">
      <c r="A258" s="18" t="str">
        <f>_xlfn.XLOOKUP("*"&amp;Tabela1[[#This Row],[Processo]]&amp;"*",'Árvore de Localização'!$H:$H,'Árvore de Localização'!$G:$G,"0000",2)</f>
        <v>2123.F</v>
      </c>
      <c r="B258" s="38" t="str">
        <f>_xlfn.XLOOKUP(Tabela1[[#This Row],[Processo]],'Árvore de Localização'!$D:$D,'Árvore de Localização'!$B:$B,"",0,1)</f>
        <v>Administração</v>
      </c>
      <c r="C258" s="42" t="str">
        <f>_xlfn.XLOOKUP(Tabela1[[#This Row],[Processo]],'Árvore de Localização'!$D:$D,'Árvore de Localização'!$C:$C,"",0,1)</f>
        <v>Administração</v>
      </c>
      <c r="D258" s="39" t="s">
        <v>10</v>
      </c>
      <c r="E258" s="22" t="s">
        <v>23</v>
      </c>
      <c r="F258" s="22" t="s">
        <v>43</v>
      </c>
      <c r="G258" s="101"/>
      <c r="H258" s="101"/>
      <c r="I258" s="112"/>
      <c r="J258" s="119"/>
      <c r="K258" s="52" t="str">
        <f>IF(OR(Tabela1[[#This Row],[Replan]]="",Tabela1[[#This Row],[Previsto (LB)]]=""),"",Tabela1[[#This Row],[Previsto (LB)]]-Tabela1[[#This Row],[Replan]])</f>
        <v/>
      </c>
      <c r="L258" s="20" t="s">
        <v>1674</v>
      </c>
      <c r="M258" s="21"/>
      <c r="N258" s="21"/>
      <c r="O258" s="19"/>
      <c r="P258" s="19"/>
      <c r="Q258" s="19"/>
      <c r="R258" s="105"/>
      <c r="S258" s="38">
        <f>IF(R258="Não iniciado",1,IF(R258="Em andamento",2,3))</f>
        <v>3</v>
      </c>
      <c r="T258" s="27"/>
    </row>
    <row r="259" spans="1:20" s="11" customFormat="1" ht="12.5" x14ac:dyDescent="0.35">
      <c r="A259" s="18" t="str">
        <f>_xlfn.XLOOKUP("*"&amp;Tabela1[[#This Row],[Processo]]&amp;"*",'Árvore de Localização'!$H:$H,'Árvore de Localização'!$G:$G,"0000",2)</f>
        <v>2119.A</v>
      </c>
      <c r="B259" s="38" t="str">
        <f>_xlfn.XLOOKUP(Tabela1[[#This Row],[Processo]],'Árvore de Localização'!$D:$D,'Árvore de Localização'!$B:$B,"",0,1)</f>
        <v>Grãos</v>
      </c>
      <c r="C259" s="42" t="str">
        <f>_xlfn.XLOOKUP(Tabela1[[#This Row],[Processo]],'Árvore de Localização'!$D:$D,'Árvore de Localização'!$C:$C,"",0,1)</f>
        <v>Descarregamento e Armazenamento de Grãos</v>
      </c>
      <c r="D259" s="39" t="s">
        <v>11</v>
      </c>
      <c r="E259" s="22" t="s">
        <v>11</v>
      </c>
      <c r="F259" s="22" t="s">
        <v>43</v>
      </c>
      <c r="G259" s="101"/>
      <c r="H259" s="101"/>
      <c r="I259" s="112"/>
      <c r="J259" s="119"/>
      <c r="K259" s="52" t="str">
        <f>IF(OR(Tabela1[[#This Row],[Replan]]="",Tabela1[[#This Row],[Previsto (LB)]]=""),"",Tabela1[[#This Row],[Previsto (LB)]]-Tabela1[[#This Row],[Replan]])</f>
        <v/>
      </c>
      <c r="L259" s="20" t="s">
        <v>1275</v>
      </c>
      <c r="M259" s="25"/>
      <c r="N259" s="21"/>
      <c r="O259" s="19"/>
      <c r="P259" s="19"/>
      <c r="Q259" s="19"/>
      <c r="R259" s="105"/>
      <c r="S259" s="38">
        <f t="shared" si="15"/>
        <v>3</v>
      </c>
      <c r="T259" s="23"/>
    </row>
    <row r="260" spans="1:20" s="11" customFormat="1" ht="12.5" x14ac:dyDescent="0.35">
      <c r="A260" s="18" t="str">
        <f>_xlfn.XLOOKUP("*"&amp;Tabela1[[#This Row],[Processo]]&amp;"*",'Árvore de Localização'!$H:$H,'Árvore de Localização'!$G:$G,"0000",2)</f>
        <v>2114.A</v>
      </c>
      <c r="B260" s="38" t="str">
        <f>_xlfn.XLOOKUP(Tabela1[[#This Row],[Processo]],'Árvore de Localização'!$D:$D,'Árvore de Localização'!$B:$B,"",0,1)</f>
        <v>Utilidades</v>
      </c>
      <c r="C260" s="42" t="str">
        <f>_xlfn.XLOOKUP(Tabela1[[#This Row],[Processo]],'Árvore de Localização'!$D:$D,'Árvore de Localização'!$C:$C,"",0,1)</f>
        <v>Sistema de Refrigeração de Água</v>
      </c>
      <c r="D260" s="39" t="s">
        <v>244</v>
      </c>
      <c r="E260" s="19" t="s">
        <v>20</v>
      </c>
      <c r="F260" s="22" t="s">
        <v>43</v>
      </c>
      <c r="G260" s="101"/>
      <c r="H260" s="101"/>
      <c r="I260" s="112"/>
      <c r="J260" s="119"/>
      <c r="K260" s="52" t="str">
        <f>IF(OR(Tabela1[[#This Row],[Replan]]="",Tabela1[[#This Row],[Previsto (LB)]]=""),"",Tabela1[[#This Row],[Previsto (LB)]]-Tabela1[[#This Row],[Replan]])</f>
        <v/>
      </c>
      <c r="L260" s="20" t="s">
        <v>1080</v>
      </c>
      <c r="M260" s="21"/>
      <c r="N260" s="21"/>
      <c r="O260" s="19"/>
      <c r="P260" s="19"/>
      <c r="Q260" s="19"/>
      <c r="R260" s="105"/>
      <c r="S260" s="38">
        <f t="shared" si="15"/>
        <v>3</v>
      </c>
      <c r="T260" s="23"/>
    </row>
    <row r="261" spans="1:20" s="11" customFormat="1" ht="12.5" x14ac:dyDescent="0.35">
      <c r="A261" s="18" t="str">
        <f>_xlfn.XLOOKUP("*"&amp;Tabela1[[#This Row],[Processo]]&amp;"*",'Árvore de Localização'!$H:$H,'Árvore de Localização'!$G:$G,"0000",2)</f>
        <v>2114.A</v>
      </c>
      <c r="B261" s="38" t="str">
        <f>_xlfn.XLOOKUP(Tabela1[[#This Row],[Processo]],'Árvore de Localização'!$D:$D,'Árvore de Localização'!$B:$B,"",0,1)</f>
        <v>Utilidades</v>
      </c>
      <c r="C261" s="42" t="str">
        <f>_xlfn.XLOOKUP(Tabela1[[#This Row],[Processo]],'Árvore de Localização'!$D:$D,'Árvore de Localização'!$C:$C,"",0,1)</f>
        <v>Sistema de Refrigeração de Água</v>
      </c>
      <c r="D261" s="39" t="s">
        <v>244</v>
      </c>
      <c r="E261" s="19" t="s">
        <v>20</v>
      </c>
      <c r="F261" s="22" t="s">
        <v>43</v>
      </c>
      <c r="G261" s="101"/>
      <c r="H261" s="101"/>
      <c r="I261" s="112"/>
      <c r="J261" s="119"/>
      <c r="K261" s="52" t="str">
        <f>IF(OR(Tabela1[[#This Row],[Replan]]="",Tabela1[[#This Row],[Previsto (LB)]]=""),"",Tabela1[[#This Row],[Previsto (LB)]]-Tabela1[[#This Row],[Replan]])</f>
        <v/>
      </c>
      <c r="L261" s="20" t="s">
        <v>1081</v>
      </c>
      <c r="M261" s="21"/>
      <c r="N261" s="21"/>
      <c r="O261" s="19"/>
      <c r="P261" s="19"/>
      <c r="Q261" s="19"/>
      <c r="R261" s="105"/>
      <c r="S261" s="38">
        <f t="shared" si="15"/>
        <v>3</v>
      </c>
      <c r="T261" s="23"/>
    </row>
    <row r="262" spans="1:20" s="11" customFormat="1" ht="12.5" x14ac:dyDescent="0.35">
      <c r="A262" s="18" t="str">
        <f>_xlfn.XLOOKUP("*"&amp;Tabela1[[#This Row],[Processo]]&amp;"*",'Árvore de Localização'!$H:$H,'Árvore de Localização'!$G:$G,"0000",2)</f>
        <v>2114.A</v>
      </c>
      <c r="B262" s="38" t="str">
        <f>_xlfn.XLOOKUP(Tabela1[[#This Row],[Processo]],'Árvore de Localização'!$D:$D,'Árvore de Localização'!$B:$B,"",0,1)</f>
        <v>Utilidades</v>
      </c>
      <c r="C262" s="42" t="str">
        <f>_xlfn.XLOOKUP(Tabela1[[#This Row],[Processo]],'Árvore de Localização'!$D:$D,'Árvore de Localização'!$C:$C,"",0,1)</f>
        <v>Sistema de Refrigeração de Água</v>
      </c>
      <c r="D262" s="39" t="s">
        <v>244</v>
      </c>
      <c r="E262" s="19" t="s">
        <v>20</v>
      </c>
      <c r="F262" s="22" t="s">
        <v>43</v>
      </c>
      <c r="G262" s="101"/>
      <c r="H262" s="101"/>
      <c r="I262" s="112"/>
      <c r="J262" s="119"/>
      <c r="K262" s="52" t="str">
        <f>IF(OR(Tabela1[[#This Row],[Replan]]="",Tabela1[[#This Row],[Previsto (LB)]]=""),"",Tabela1[[#This Row],[Previsto (LB)]]-Tabela1[[#This Row],[Replan]])</f>
        <v/>
      </c>
      <c r="L262" s="20" t="s">
        <v>1098</v>
      </c>
      <c r="M262" s="21"/>
      <c r="N262" s="21"/>
      <c r="O262" s="19"/>
      <c r="P262" s="19"/>
      <c r="Q262" s="19"/>
      <c r="R262" s="105"/>
      <c r="S262" s="38">
        <f>IF(R262="Não iniciado",1,IF(R262="Em andamento",2,3))</f>
        <v>3</v>
      </c>
      <c r="T262" s="27"/>
    </row>
    <row r="263" spans="1:20" s="11" customFormat="1" ht="12.5" x14ac:dyDescent="0.35">
      <c r="A263" s="18" t="str">
        <f>_xlfn.XLOOKUP("*"&amp;Tabela1[[#This Row],[Processo]]&amp;"*",'Árvore de Localização'!$H:$H,'Árvore de Localização'!$G:$G,"0000",2)</f>
        <v>2114.A</v>
      </c>
      <c r="B263" s="38" t="str">
        <f>_xlfn.XLOOKUP(Tabela1[[#This Row],[Processo]],'Árvore de Localização'!$D:$D,'Árvore de Localização'!$B:$B,"",0,1)</f>
        <v>Utilidades</v>
      </c>
      <c r="C263" s="42" t="str">
        <f>_xlfn.XLOOKUP(Tabela1[[#This Row],[Processo]],'Árvore de Localização'!$D:$D,'Árvore de Localização'!$C:$C,"",0,1)</f>
        <v>Sistema de Refrigeração de Água</v>
      </c>
      <c r="D263" s="39" t="s">
        <v>244</v>
      </c>
      <c r="E263" s="19" t="s">
        <v>20</v>
      </c>
      <c r="F263" s="22" t="s">
        <v>43</v>
      </c>
      <c r="G263" s="101"/>
      <c r="H263" s="101"/>
      <c r="I263" s="112"/>
      <c r="J263" s="119"/>
      <c r="K263" s="52" t="str">
        <f>IF(OR(Tabela1[[#This Row],[Replan]]="",Tabela1[[#This Row],[Previsto (LB)]]=""),"",Tabela1[[#This Row],[Previsto (LB)]]-Tabela1[[#This Row],[Replan]])</f>
        <v/>
      </c>
      <c r="L263" s="20" t="s">
        <v>1089</v>
      </c>
      <c r="M263" s="21"/>
      <c r="N263" s="21"/>
      <c r="O263" s="19"/>
      <c r="P263" s="19"/>
      <c r="Q263" s="19"/>
      <c r="R263" s="105"/>
      <c r="S263" s="38">
        <f>IF(R263="Não iniciado",1,IF(R263="Em andamento",2,3))</f>
        <v>3</v>
      </c>
      <c r="T263" s="27"/>
    </row>
    <row r="264" spans="1:20" s="11" customFormat="1" ht="12.5" x14ac:dyDescent="0.35">
      <c r="A264" s="18" t="str">
        <f>_xlfn.XLOOKUP("*"&amp;Tabela1[[#This Row],[Processo]]&amp;"*",'Árvore de Localização'!$H:$H,'Árvore de Localização'!$G:$G,"0000",2)</f>
        <v>2117.B</v>
      </c>
      <c r="B264" s="38" t="str">
        <f>_xlfn.XLOOKUP(Tabela1[[#This Row],[Processo]],'Árvore de Localização'!$D:$D,'Árvore de Localização'!$B:$B,"",0,1)</f>
        <v>DDGSeÓleo</v>
      </c>
      <c r="C264" s="42" t="str">
        <f>_xlfn.XLOOKUP(Tabela1[[#This Row],[Processo]],'Árvore de Localização'!$D:$D,'Árvore de Localização'!$C:$C,"",0,1)</f>
        <v>Sistema de Evaporação de Vinhaça</v>
      </c>
      <c r="D264" s="39" t="s">
        <v>198</v>
      </c>
      <c r="E264" s="19" t="s">
        <v>50</v>
      </c>
      <c r="F264" s="19" t="s">
        <v>43</v>
      </c>
      <c r="G264" s="101"/>
      <c r="H264" s="101"/>
      <c r="I264" s="112"/>
      <c r="J264" s="119"/>
      <c r="K264" s="52" t="str">
        <f>IF(OR(Tabela1[[#This Row],[Replan]]="",Tabela1[[#This Row],[Previsto (LB)]]=""),"",Tabela1[[#This Row],[Previsto (LB)]]-Tabela1[[#This Row],[Replan]])</f>
        <v/>
      </c>
      <c r="L264" s="20" t="s">
        <v>744</v>
      </c>
      <c r="M264" s="21"/>
      <c r="N264" s="21"/>
      <c r="O264" s="19"/>
      <c r="P264" s="19"/>
      <c r="Q264" s="19"/>
      <c r="R264" s="105"/>
      <c r="S264" s="38">
        <f t="shared" si="15"/>
        <v>3</v>
      </c>
      <c r="T264" s="24"/>
    </row>
    <row r="265" spans="1:20" s="11" customFormat="1" ht="12.5" x14ac:dyDescent="0.35">
      <c r="A265" s="18" t="str">
        <f>_xlfn.XLOOKUP("*"&amp;Tabela1[[#This Row],[Processo]]&amp;"*",'Árvore de Localização'!$H:$H,'Árvore de Localização'!$G:$G,"0000",2)</f>
        <v>2117.B</v>
      </c>
      <c r="B265" s="38" t="str">
        <f>_xlfn.XLOOKUP(Tabela1[[#This Row],[Processo]],'Árvore de Localização'!$D:$D,'Árvore de Localização'!$B:$B,"",0,1)</f>
        <v>DDGSeÓleo</v>
      </c>
      <c r="C265" s="42" t="str">
        <f>_xlfn.XLOOKUP(Tabela1[[#This Row],[Processo]],'Árvore de Localização'!$D:$D,'Árvore de Localização'!$C:$C,"",0,1)</f>
        <v>Sistema de Evaporação de Vinhaça</v>
      </c>
      <c r="D265" s="39" t="s">
        <v>198</v>
      </c>
      <c r="E265" s="19" t="s">
        <v>50</v>
      </c>
      <c r="F265" s="19" t="s">
        <v>43</v>
      </c>
      <c r="G265" s="101"/>
      <c r="H265" s="101"/>
      <c r="I265" s="112"/>
      <c r="J265" s="119"/>
      <c r="K265" s="52" t="str">
        <f>IF(OR(Tabela1[[#This Row],[Replan]]="",Tabela1[[#This Row],[Previsto (LB)]]=""),"",Tabela1[[#This Row],[Previsto (LB)]]-Tabela1[[#This Row],[Replan]])</f>
        <v/>
      </c>
      <c r="L265" s="20" t="s">
        <v>745</v>
      </c>
      <c r="M265" s="21"/>
      <c r="N265" s="21"/>
      <c r="O265" s="19"/>
      <c r="P265" s="19"/>
      <c r="Q265" s="19"/>
      <c r="R265" s="105"/>
      <c r="S265" s="38">
        <f t="shared" si="15"/>
        <v>3</v>
      </c>
      <c r="T265" s="24"/>
    </row>
    <row r="266" spans="1:20" s="11" customFormat="1" ht="12.5" x14ac:dyDescent="0.35">
      <c r="A266" s="18" t="str">
        <f>_xlfn.XLOOKUP("*"&amp;Tabela1[[#This Row],[Processo]]&amp;"*",'Árvore de Localização'!$H:$H,'Árvore de Localização'!$G:$G,"0000",2)</f>
        <v>2117.B</v>
      </c>
      <c r="B266" s="38" t="str">
        <f>_xlfn.XLOOKUP(Tabela1[[#This Row],[Processo]],'Árvore de Localização'!$D:$D,'Árvore de Localização'!$B:$B,"",0,1)</f>
        <v>DDGSeÓleo</v>
      </c>
      <c r="C266" s="42" t="str">
        <f>_xlfn.XLOOKUP(Tabela1[[#This Row],[Processo]],'Árvore de Localização'!$D:$D,'Árvore de Localização'!$C:$C,"",0,1)</f>
        <v>Sistema de Evaporação de Vinhaça</v>
      </c>
      <c r="D266" s="39" t="s">
        <v>198</v>
      </c>
      <c r="E266" s="19" t="s">
        <v>50</v>
      </c>
      <c r="F266" s="19" t="s">
        <v>43</v>
      </c>
      <c r="G266" s="101"/>
      <c r="H266" s="101"/>
      <c r="I266" s="112"/>
      <c r="J266" s="119"/>
      <c r="K266" s="52" t="str">
        <f>IF(OR(Tabela1[[#This Row],[Replan]]="",Tabela1[[#This Row],[Previsto (LB)]]=""),"",Tabela1[[#This Row],[Previsto (LB)]]-Tabela1[[#This Row],[Replan]])</f>
        <v/>
      </c>
      <c r="L266" s="20" t="s">
        <v>753</v>
      </c>
      <c r="M266" s="21"/>
      <c r="N266" s="21"/>
      <c r="O266" s="19"/>
      <c r="P266" s="19"/>
      <c r="Q266" s="19"/>
      <c r="R266" s="105"/>
      <c r="S266" s="38">
        <f>IF(R266="Não iniciado",1,IF(R266="Em andamento",2,3))</f>
        <v>3</v>
      </c>
      <c r="T266" s="27"/>
    </row>
    <row r="267" spans="1:20" s="11" customFormat="1" ht="12.5" x14ac:dyDescent="0.35">
      <c r="A267" s="18" t="str">
        <f>_xlfn.XLOOKUP("*"&amp;Tabela1[[#This Row],[Processo]]&amp;"*",'Árvore de Localização'!$H:$H,'Árvore de Localização'!$G:$G,"0000",2)</f>
        <v>2109.E</v>
      </c>
      <c r="B267" s="38" t="str">
        <f>_xlfn.XLOOKUP(Tabela1[[#This Row],[Processo]],'Árvore de Localização'!$D:$D,'Árvore de Localização'!$B:$B,"",0,1)</f>
        <v>DDGSeÓleo</v>
      </c>
      <c r="C267" s="42" t="str">
        <f>_xlfn.XLOOKUP(Tabela1[[#This Row],[Processo]],'Árvore de Localização'!$D:$D,'Árvore de Localização'!$C:$C,"",0,1)</f>
        <v>Separação de Sólidos e Secagem de DDGS</v>
      </c>
      <c r="D267" s="39" t="s">
        <v>191</v>
      </c>
      <c r="E267" s="19" t="s">
        <v>51</v>
      </c>
      <c r="F267" s="19" t="s">
        <v>43</v>
      </c>
      <c r="G267" s="101"/>
      <c r="H267" s="101"/>
      <c r="I267" s="112"/>
      <c r="J267" s="119"/>
      <c r="K267" s="52" t="str">
        <f>IF(OR(Tabela1[[#This Row],[Replan]]="",Tabela1[[#This Row],[Previsto (LB)]]=""),"",Tabela1[[#This Row],[Previsto (LB)]]-Tabela1[[#This Row],[Replan]])</f>
        <v/>
      </c>
      <c r="L267" s="20" t="s">
        <v>703</v>
      </c>
      <c r="M267" s="21"/>
      <c r="N267" s="25"/>
      <c r="O267" s="19"/>
      <c r="P267" s="19"/>
      <c r="Q267" s="19"/>
      <c r="R267" s="105"/>
      <c r="S267" s="38">
        <f t="shared" si="15"/>
        <v>3</v>
      </c>
      <c r="T267" s="27"/>
    </row>
    <row r="268" spans="1:20" s="11" customFormat="1" ht="12.5" x14ac:dyDescent="0.35">
      <c r="A268" s="18" t="str">
        <f>_xlfn.XLOOKUP("*"&amp;Tabela1[[#This Row],[Processo]]&amp;"*",'Árvore de Localização'!$H:$H,'Árvore de Localização'!$G:$G,"0000",2)</f>
        <v>2109.E</v>
      </c>
      <c r="B268" s="38" t="str">
        <f>_xlfn.XLOOKUP(Tabela1[[#This Row],[Processo]],'Árvore de Localização'!$D:$D,'Árvore de Localização'!$B:$B,"",0,1)</f>
        <v>DDGSeÓleo</v>
      </c>
      <c r="C268" s="42" t="str">
        <f>_xlfn.XLOOKUP(Tabela1[[#This Row],[Processo]],'Árvore de Localização'!$D:$D,'Árvore de Localização'!$C:$C,"",0,1)</f>
        <v>Separação de Sólidos e Secagem de DDGS</v>
      </c>
      <c r="D268" s="39" t="s">
        <v>191</v>
      </c>
      <c r="E268" s="19" t="s">
        <v>51</v>
      </c>
      <c r="F268" s="19" t="s">
        <v>43</v>
      </c>
      <c r="G268" s="101"/>
      <c r="H268" s="101"/>
      <c r="I268" s="112"/>
      <c r="J268" s="119"/>
      <c r="K268" s="52" t="str">
        <f>IF(OR(Tabela1[[#This Row],[Replan]]="",Tabela1[[#This Row],[Previsto (LB)]]=""),"",Tabela1[[#This Row],[Previsto (LB)]]-Tabela1[[#This Row],[Replan]])</f>
        <v/>
      </c>
      <c r="L268" s="20" t="s">
        <v>734</v>
      </c>
      <c r="M268" s="21"/>
      <c r="N268" s="25"/>
      <c r="O268" s="19"/>
      <c r="P268" s="19"/>
      <c r="Q268" s="19"/>
      <c r="R268" s="105"/>
      <c r="S268" s="38">
        <f t="shared" si="15"/>
        <v>3</v>
      </c>
      <c r="T268" s="27"/>
    </row>
    <row r="269" spans="1:20" s="11" customFormat="1" ht="12.5" x14ac:dyDescent="0.35">
      <c r="A269" s="18" t="str">
        <f>_xlfn.XLOOKUP("*"&amp;Tabela1[[#This Row],[Processo]]&amp;"*",'Árvore de Localização'!$H:$H,'Árvore de Localização'!$G:$G,"0000",2)</f>
        <v>2109.E</v>
      </c>
      <c r="B269" s="38" t="str">
        <f>_xlfn.XLOOKUP(Tabela1[[#This Row],[Processo]],'Árvore de Localização'!$D:$D,'Árvore de Localização'!$B:$B,"",0,1)</f>
        <v>DDGSeÓleo</v>
      </c>
      <c r="C269" s="42" t="str">
        <f>_xlfn.XLOOKUP(Tabela1[[#This Row],[Processo]],'Árvore de Localização'!$D:$D,'Árvore de Localização'!$C:$C,"",0,1)</f>
        <v>Separação de Sólidos e Secagem de DDGS</v>
      </c>
      <c r="D269" s="39" t="s">
        <v>191</v>
      </c>
      <c r="E269" s="19" t="s">
        <v>51</v>
      </c>
      <c r="F269" s="19" t="s">
        <v>43</v>
      </c>
      <c r="G269" s="101"/>
      <c r="H269" s="101"/>
      <c r="I269" s="112"/>
      <c r="J269" s="119"/>
      <c r="K269" s="52" t="str">
        <f>IF(OR(Tabela1[[#This Row],[Replan]]="",Tabela1[[#This Row],[Previsto (LB)]]=""),"",Tabela1[[#This Row],[Previsto (LB)]]-Tabela1[[#This Row],[Replan]])</f>
        <v/>
      </c>
      <c r="L269" s="20" t="s">
        <v>708</v>
      </c>
      <c r="M269" s="21"/>
      <c r="N269" s="21"/>
      <c r="O269" s="19"/>
      <c r="P269" s="19"/>
      <c r="Q269" s="19"/>
      <c r="R269" s="105"/>
      <c r="S269" s="38">
        <f t="shared" si="15"/>
        <v>3</v>
      </c>
      <c r="T269" s="27"/>
    </row>
    <row r="270" spans="1:20" s="11" customFormat="1" ht="12.5" x14ac:dyDescent="0.35">
      <c r="A270" s="18" t="str">
        <f>_xlfn.XLOOKUP("*"&amp;Tabela1[[#This Row],[Processo]]&amp;"*",'Árvore de Localização'!$H:$H,'Árvore de Localização'!$G:$G,"0000",2)</f>
        <v>2109.E</v>
      </c>
      <c r="B270" s="38" t="str">
        <f>_xlfn.XLOOKUP(Tabela1[[#This Row],[Processo]],'Árvore de Localização'!$D:$D,'Árvore de Localização'!$B:$B,"",0,1)</f>
        <v>DDGSeÓleo</v>
      </c>
      <c r="C270" s="42" t="str">
        <f>_xlfn.XLOOKUP(Tabela1[[#This Row],[Processo]],'Árvore de Localização'!$D:$D,'Árvore de Localização'!$C:$C,"",0,1)</f>
        <v>Separação de Sólidos e Secagem de DDGS</v>
      </c>
      <c r="D270" s="39" t="s">
        <v>191</v>
      </c>
      <c r="E270" s="19" t="s">
        <v>51</v>
      </c>
      <c r="F270" s="19" t="s">
        <v>43</v>
      </c>
      <c r="G270" s="101"/>
      <c r="H270" s="101"/>
      <c r="I270" s="112"/>
      <c r="J270" s="119"/>
      <c r="K270" s="52" t="str">
        <f>IF(OR(Tabela1[[#This Row],[Replan]]="",Tabela1[[#This Row],[Previsto (LB)]]=""),"",Tabela1[[#This Row],[Previsto (LB)]]-Tabela1[[#This Row],[Replan]])</f>
        <v/>
      </c>
      <c r="L270" s="20" t="s">
        <v>735</v>
      </c>
      <c r="M270" s="21"/>
      <c r="N270" s="25"/>
      <c r="O270" s="19"/>
      <c r="P270" s="19"/>
      <c r="Q270" s="19"/>
      <c r="R270" s="105"/>
      <c r="S270" s="38">
        <f t="shared" si="15"/>
        <v>3</v>
      </c>
      <c r="T270" s="27"/>
    </row>
    <row r="271" spans="1:20" s="11" customFormat="1" ht="12.5" x14ac:dyDescent="0.35">
      <c r="A271" s="18" t="str">
        <f>_xlfn.XLOOKUP("*"&amp;Tabela1[[#This Row],[Processo]]&amp;"*",'Árvore de Localização'!$H:$H,'Árvore de Localização'!$G:$G,"0000",2)</f>
        <v>2109.E</v>
      </c>
      <c r="B271" s="38" t="str">
        <f>_xlfn.XLOOKUP(Tabela1[[#This Row],[Processo]],'Árvore de Localização'!$D:$D,'Árvore de Localização'!$B:$B,"",0,1)</f>
        <v>DDGSeÓleo</v>
      </c>
      <c r="C271" s="42" t="str">
        <f>_xlfn.XLOOKUP(Tabela1[[#This Row],[Processo]],'Árvore de Localização'!$D:$D,'Árvore de Localização'!$C:$C,"",0,1)</f>
        <v>Separação de Sólidos e Secagem de DDGS</v>
      </c>
      <c r="D271" s="39" t="s">
        <v>191</v>
      </c>
      <c r="E271" s="19" t="s">
        <v>51</v>
      </c>
      <c r="F271" s="19" t="s">
        <v>43</v>
      </c>
      <c r="G271" s="101"/>
      <c r="H271" s="101"/>
      <c r="I271" s="112"/>
      <c r="J271" s="119"/>
      <c r="K271" s="52" t="str">
        <f>IF(OR(Tabela1[[#This Row],[Replan]]="",Tabela1[[#This Row],[Previsto (LB)]]=""),"",Tabela1[[#This Row],[Previsto (LB)]]-Tabela1[[#This Row],[Replan]])</f>
        <v/>
      </c>
      <c r="L271" s="20" t="s">
        <v>1637</v>
      </c>
      <c r="M271" s="21"/>
      <c r="N271" s="21"/>
      <c r="O271" s="19"/>
      <c r="P271" s="19"/>
      <c r="Q271" s="19"/>
      <c r="R271" s="105"/>
      <c r="S271" s="38">
        <f t="shared" ref="S271:S272" si="17">IF(R271="Não iniciado",1,IF(R271="Em andamento",2,3))</f>
        <v>3</v>
      </c>
      <c r="T271" s="27"/>
    </row>
    <row r="272" spans="1:20" s="11" customFormat="1" ht="12.5" x14ac:dyDescent="0.35">
      <c r="A272" s="18" t="str">
        <f>_xlfn.XLOOKUP("*"&amp;Tabela1[[#This Row],[Processo]]&amp;"*",'Árvore de Localização'!$H:$H,'Árvore de Localização'!$G:$G,"0000",2)</f>
        <v>2109.E</v>
      </c>
      <c r="B272" s="38" t="str">
        <f>_xlfn.XLOOKUP(Tabela1[[#This Row],[Processo]],'Árvore de Localização'!$D:$D,'Árvore de Localização'!$B:$B,"",0,1)</f>
        <v>DDGSeÓleo</v>
      </c>
      <c r="C272" s="42" t="str">
        <f>_xlfn.XLOOKUP(Tabela1[[#This Row],[Processo]],'Árvore de Localização'!$D:$D,'Árvore de Localização'!$C:$C,"",0,1)</f>
        <v>Separação de Sólidos e Secagem de DDGS</v>
      </c>
      <c r="D272" s="39" t="s">
        <v>191</v>
      </c>
      <c r="E272" s="19" t="s">
        <v>51</v>
      </c>
      <c r="F272" s="19" t="s">
        <v>43</v>
      </c>
      <c r="G272" s="101"/>
      <c r="H272" s="101"/>
      <c r="I272" s="112"/>
      <c r="J272" s="119"/>
      <c r="K272" s="52" t="str">
        <f>IF(OR(Tabela1[[#This Row],[Replan]]="",Tabela1[[#This Row],[Previsto (LB)]]=""),"",Tabela1[[#This Row],[Previsto (LB)]]-Tabela1[[#This Row],[Replan]])</f>
        <v/>
      </c>
      <c r="L272" s="20" t="s">
        <v>709</v>
      </c>
      <c r="M272" s="21"/>
      <c r="N272" s="21"/>
      <c r="O272" s="19"/>
      <c r="P272" s="19"/>
      <c r="Q272" s="19"/>
      <c r="R272" s="105"/>
      <c r="S272" s="38">
        <f t="shared" si="17"/>
        <v>3</v>
      </c>
      <c r="T272" s="27"/>
    </row>
    <row r="273" spans="1:20" s="11" customFormat="1" ht="12.5" x14ac:dyDescent="0.35">
      <c r="A273" s="18" t="str">
        <f>_xlfn.XLOOKUP("*"&amp;Tabela1[[#This Row],[Processo]]&amp;"*",'Árvore de Localização'!$H:$H,'Árvore de Localização'!$G:$G,"0000",2)</f>
        <v>2109.E</v>
      </c>
      <c r="B273" s="38" t="str">
        <f>_xlfn.XLOOKUP(Tabela1[[#This Row],[Processo]],'Árvore de Localização'!$D:$D,'Árvore de Localização'!$B:$B,"",0,1)</f>
        <v>DDGSeÓleo</v>
      </c>
      <c r="C273" s="42" t="str">
        <f>_xlfn.XLOOKUP(Tabela1[[#This Row],[Processo]],'Árvore de Localização'!$D:$D,'Árvore de Localização'!$C:$C,"",0,1)</f>
        <v>Separação de Sólidos e Secagem de DDGS</v>
      </c>
      <c r="D273" s="39" t="s">
        <v>191</v>
      </c>
      <c r="E273" s="19" t="s">
        <v>51</v>
      </c>
      <c r="F273" s="19" t="s">
        <v>43</v>
      </c>
      <c r="G273" s="101"/>
      <c r="H273" s="101"/>
      <c r="I273" s="112"/>
      <c r="J273" s="119"/>
      <c r="K273" s="52" t="str">
        <f>IF(OR(Tabela1[[#This Row],[Replan]]="",Tabela1[[#This Row],[Previsto (LB)]]=""),"",Tabela1[[#This Row],[Previsto (LB)]]-Tabela1[[#This Row],[Replan]])</f>
        <v/>
      </c>
      <c r="L273" s="20" t="s">
        <v>1638</v>
      </c>
      <c r="M273" s="21"/>
      <c r="N273" s="21"/>
      <c r="O273" s="19"/>
      <c r="P273" s="19"/>
      <c r="Q273" s="19"/>
      <c r="R273" s="105"/>
      <c r="S273" s="38">
        <f>IF(R273="Não iniciado",1,IF(R273="Em andamento",2,3))</f>
        <v>3</v>
      </c>
      <c r="T273" s="27"/>
    </row>
    <row r="274" spans="1:20" s="11" customFormat="1" ht="12.5" x14ac:dyDescent="0.35">
      <c r="A274" s="18" t="str">
        <f>_xlfn.XLOOKUP("*"&amp;Tabela1[[#This Row],[Processo]]&amp;"*",'Árvore de Localização'!$H:$H,'Árvore de Localização'!$G:$G,"0000",2)</f>
        <v>2109.E</v>
      </c>
      <c r="B274" s="38" t="str">
        <f>_xlfn.XLOOKUP(Tabela1[[#This Row],[Processo]],'Árvore de Localização'!$D:$D,'Árvore de Localização'!$B:$B,"",0,1)</f>
        <v>DDGSeÓleo</v>
      </c>
      <c r="C274" s="42" t="str">
        <f>_xlfn.XLOOKUP(Tabela1[[#This Row],[Processo]],'Árvore de Localização'!$D:$D,'Árvore de Localização'!$C:$C,"",0,1)</f>
        <v>Separação de Sólidos e Secagem de DDGS</v>
      </c>
      <c r="D274" s="39" t="s">
        <v>191</v>
      </c>
      <c r="E274" s="19" t="s">
        <v>51</v>
      </c>
      <c r="F274" s="19" t="s">
        <v>43</v>
      </c>
      <c r="G274" s="101"/>
      <c r="H274" s="101"/>
      <c r="I274" s="112"/>
      <c r="J274" s="119"/>
      <c r="K274" s="52" t="str">
        <f>IF(OR(Tabela1[[#This Row],[Replan]]="",Tabela1[[#This Row],[Previsto (LB)]]=""),"",Tabela1[[#This Row],[Previsto (LB)]]-Tabela1[[#This Row],[Replan]])</f>
        <v/>
      </c>
      <c r="L274" s="20" t="s">
        <v>715</v>
      </c>
      <c r="M274" s="21"/>
      <c r="N274" s="21"/>
      <c r="O274" s="19"/>
      <c r="P274" s="19"/>
      <c r="Q274" s="19"/>
      <c r="R274" s="105"/>
      <c r="S274" s="38">
        <f>IF(R274="Não iniciado",1,IF(R274="Em andamento",2,3))</f>
        <v>3</v>
      </c>
      <c r="T274" s="27"/>
    </row>
    <row r="275" spans="1:20" s="11" customFormat="1" ht="12.5" x14ac:dyDescent="0.35">
      <c r="A275" s="18" t="str">
        <f>_xlfn.XLOOKUP("*"&amp;Tabela1[[#This Row],[Processo]]&amp;"*",'Árvore de Localização'!$H:$H,'Árvore de Localização'!$G:$G,"0000",2)</f>
        <v>2109.E</v>
      </c>
      <c r="B275" s="38" t="str">
        <f>_xlfn.XLOOKUP(Tabela1[[#This Row],[Processo]],'Árvore de Localização'!$D:$D,'Árvore de Localização'!$B:$B,"",0,1)</f>
        <v>DDGSeÓleo</v>
      </c>
      <c r="C275" s="42" t="str">
        <f>_xlfn.XLOOKUP(Tabela1[[#This Row],[Processo]],'Árvore de Localização'!$D:$D,'Árvore de Localização'!$C:$C,"",0,1)</f>
        <v>Separação de Sólidos e Secagem de DDGS</v>
      </c>
      <c r="D275" s="39" t="s">
        <v>191</v>
      </c>
      <c r="E275" s="19" t="s">
        <v>51</v>
      </c>
      <c r="F275" s="19" t="s">
        <v>43</v>
      </c>
      <c r="G275" s="101"/>
      <c r="H275" s="101"/>
      <c r="I275" s="112"/>
      <c r="J275" s="119"/>
      <c r="K275" s="52" t="str">
        <f>IF(OR(Tabela1[[#This Row],[Replan]]="",Tabela1[[#This Row],[Previsto (LB)]]=""),"",Tabela1[[#This Row],[Previsto (LB)]]-Tabela1[[#This Row],[Replan]])</f>
        <v/>
      </c>
      <c r="L275" s="20" t="s">
        <v>710</v>
      </c>
      <c r="M275" s="21"/>
      <c r="N275" s="21"/>
      <c r="O275" s="19"/>
      <c r="P275" s="19"/>
      <c r="Q275" s="19"/>
      <c r="R275" s="105"/>
      <c r="S275" s="38">
        <f>IF(R275="Não iniciado",1,IF(R275="Em andamento",2,3))</f>
        <v>3</v>
      </c>
      <c r="T275" s="27"/>
    </row>
    <row r="276" spans="1:20" s="11" customFormat="1" ht="12.5" x14ac:dyDescent="0.35">
      <c r="A276" s="18" t="str">
        <f>_xlfn.XLOOKUP("*"&amp;Tabela1[[#This Row],[Processo]]&amp;"*",'Árvore de Localização'!$H:$H,'Árvore de Localização'!$G:$G,"0000",2)</f>
        <v>2109.E</v>
      </c>
      <c r="B276" s="38" t="str">
        <f>_xlfn.XLOOKUP(Tabela1[[#This Row],[Processo]],'Árvore de Localização'!$D:$D,'Árvore de Localização'!$B:$B,"",0,1)</f>
        <v>DDGSeÓleo</v>
      </c>
      <c r="C276" s="42" t="str">
        <f>_xlfn.XLOOKUP(Tabela1[[#This Row],[Processo]],'Árvore de Localização'!$D:$D,'Árvore de Localização'!$C:$C,"",0,1)</f>
        <v>Separação de Sólidos e Secagem de DDGS</v>
      </c>
      <c r="D276" s="39" t="s">
        <v>191</v>
      </c>
      <c r="E276" s="19" t="s">
        <v>51</v>
      </c>
      <c r="F276" s="19" t="s">
        <v>43</v>
      </c>
      <c r="G276" s="101"/>
      <c r="H276" s="101"/>
      <c r="I276" s="112"/>
      <c r="J276" s="119"/>
      <c r="K276" s="52" t="str">
        <f>IF(OR(Tabela1[[#This Row],[Replan]]="",Tabela1[[#This Row],[Previsto (LB)]]=""),"",Tabela1[[#This Row],[Previsto (LB)]]-Tabela1[[#This Row],[Replan]])</f>
        <v/>
      </c>
      <c r="L276" s="20" t="s">
        <v>1639</v>
      </c>
      <c r="M276" s="21"/>
      <c r="N276" s="21"/>
      <c r="O276" s="19"/>
      <c r="P276" s="19"/>
      <c r="Q276" s="19"/>
      <c r="R276" s="105"/>
      <c r="S276" s="38">
        <f t="shared" si="15"/>
        <v>3</v>
      </c>
      <c r="T276" s="27"/>
    </row>
    <row r="277" spans="1:20" s="11" customFormat="1" ht="12.5" x14ac:dyDescent="0.35">
      <c r="A277" s="18" t="str">
        <f>_xlfn.XLOOKUP("*"&amp;Tabela1[[#This Row],[Processo]]&amp;"*",'Árvore de Localização'!$H:$H,'Árvore de Localização'!$G:$G,"0000",2)</f>
        <v>2114.B</v>
      </c>
      <c r="B277" s="38" t="str">
        <f>_xlfn.XLOOKUP(Tabela1[[#This Row],[Processo]],'Árvore de Localização'!$D:$D,'Árvore de Localização'!$B:$B,"",0,1)</f>
        <v>Utilidades</v>
      </c>
      <c r="C277" s="42" t="str">
        <f>_xlfn.XLOOKUP(Tabela1[[#This Row],[Processo]],'Árvore de Localização'!$D:$D,'Árvore de Localização'!$C:$C,"",0,1)</f>
        <v>Sistema de Refrigeração de Água</v>
      </c>
      <c r="D277" s="39" t="s">
        <v>246</v>
      </c>
      <c r="E277" s="19" t="s">
        <v>246</v>
      </c>
      <c r="F277" s="19" t="s">
        <v>43</v>
      </c>
      <c r="G277" s="101"/>
      <c r="H277" s="101"/>
      <c r="I277" s="112"/>
      <c r="J277" s="119"/>
      <c r="K277" s="52" t="str">
        <f>IF(OR(Tabela1[[#This Row],[Replan]]="",Tabela1[[#This Row],[Previsto (LB)]]=""),"",Tabela1[[#This Row],[Previsto (LB)]]-Tabela1[[#This Row],[Replan]])</f>
        <v/>
      </c>
      <c r="L277" s="20" t="s">
        <v>1082</v>
      </c>
      <c r="M277" s="21"/>
      <c r="N277" s="21"/>
      <c r="O277" s="19"/>
      <c r="P277" s="19"/>
      <c r="Q277" s="19"/>
      <c r="R277" s="105"/>
      <c r="S277" s="38">
        <f>IF(R277="Não iniciado",1,IF(R277="Em andamento",2,3))</f>
        <v>3</v>
      </c>
      <c r="T277" s="27"/>
    </row>
    <row r="278" spans="1:20" s="11" customFormat="1" ht="12.5" x14ac:dyDescent="0.35">
      <c r="A278" s="18" t="str">
        <f>_xlfn.XLOOKUP("*"&amp;Tabela1[[#This Row],[Processo]]&amp;"*",'Árvore de Localização'!$H:$H,'Árvore de Localização'!$G:$G,"0000",2)</f>
        <v>2114.B</v>
      </c>
      <c r="B278" s="38" t="str">
        <f>_xlfn.XLOOKUP(Tabela1[[#This Row],[Processo]],'Árvore de Localização'!$D:$D,'Árvore de Localização'!$B:$B,"",0,1)</f>
        <v>Utilidades</v>
      </c>
      <c r="C278" s="42" t="str">
        <f>_xlfn.XLOOKUP(Tabela1[[#This Row],[Processo]],'Árvore de Localização'!$D:$D,'Árvore de Localização'!$C:$C,"",0,1)</f>
        <v>Sistema de Refrigeração de Água</v>
      </c>
      <c r="D278" s="39" t="s">
        <v>246</v>
      </c>
      <c r="E278" s="19" t="s">
        <v>246</v>
      </c>
      <c r="F278" s="19" t="s">
        <v>43</v>
      </c>
      <c r="G278" s="101"/>
      <c r="H278" s="101"/>
      <c r="I278" s="112"/>
      <c r="J278" s="119"/>
      <c r="K278" s="52" t="str">
        <f>IF(OR(Tabela1[[#This Row],[Replan]]="",Tabela1[[#This Row],[Previsto (LB)]]=""),"",Tabela1[[#This Row],[Previsto (LB)]]-Tabela1[[#This Row],[Replan]])</f>
        <v/>
      </c>
      <c r="L278" s="20" t="s">
        <v>1090</v>
      </c>
      <c r="M278" s="21"/>
      <c r="N278" s="21"/>
      <c r="O278" s="19"/>
      <c r="P278" s="19"/>
      <c r="Q278" s="19"/>
      <c r="R278" s="105"/>
      <c r="S278" s="38">
        <f t="shared" ref="S278:S282" si="18">IF(R278="Não iniciado",1,IF(R278="Em andamento",2,3))</f>
        <v>3</v>
      </c>
      <c r="T278" s="27"/>
    </row>
    <row r="279" spans="1:20" s="11" customFormat="1" ht="12.5" x14ac:dyDescent="0.35">
      <c r="A279" s="18" t="str">
        <f>_xlfn.XLOOKUP("*"&amp;Tabela1[[#This Row],[Processo]]&amp;"*",'Árvore de Localização'!$H:$H,'Árvore de Localização'!$G:$G,"0000",2)</f>
        <v>2114.B</v>
      </c>
      <c r="B279" s="38" t="str">
        <f>_xlfn.XLOOKUP(Tabela1[[#This Row],[Processo]],'Árvore de Localização'!$D:$D,'Árvore de Localização'!$B:$B,"",0,1)</f>
        <v>Utilidades</v>
      </c>
      <c r="C279" s="42" t="str">
        <f>_xlfn.XLOOKUP(Tabela1[[#This Row],[Processo]],'Árvore de Localização'!$D:$D,'Árvore de Localização'!$C:$C,"",0,1)</f>
        <v>Sistema de Refrigeração de Água</v>
      </c>
      <c r="D279" s="39" t="s">
        <v>246</v>
      </c>
      <c r="E279" s="19" t="s">
        <v>246</v>
      </c>
      <c r="F279" s="19" t="s">
        <v>43</v>
      </c>
      <c r="G279" s="101"/>
      <c r="H279" s="101"/>
      <c r="I279" s="112"/>
      <c r="J279" s="119"/>
      <c r="K279" s="52" t="str">
        <f>IF(OR(Tabela1[[#This Row],[Replan]]="",Tabela1[[#This Row],[Previsto (LB)]]=""),"",Tabela1[[#This Row],[Previsto (LB)]]-Tabela1[[#This Row],[Replan]])</f>
        <v/>
      </c>
      <c r="L279" s="20" t="s">
        <v>1083</v>
      </c>
      <c r="M279" s="21"/>
      <c r="N279" s="21"/>
      <c r="O279" s="19"/>
      <c r="P279" s="19"/>
      <c r="Q279" s="19"/>
      <c r="R279" s="105"/>
      <c r="S279" s="38">
        <f t="shared" si="18"/>
        <v>3</v>
      </c>
      <c r="T279" s="27"/>
    </row>
    <row r="280" spans="1:20" s="11" customFormat="1" ht="12.5" x14ac:dyDescent="0.35">
      <c r="A280" s="18" t="str">
        <f>_xlfn.XLOOKUP("*"&amp;Tabela1[[#This Row],[Processo]]&amp;"*",'Árvore de Localização'!$H:$H,'Árvore de Localização'!$G:$G,"0000",2)</f>
        <v>2114.B</v>
      </c>
      <c r="B280" s="38" t="str">
        <f>_xlfn.XLOOKUP(Tabela1[[#This Row],[Processo]],'Árvore de Localização'!$D:$D,'Árvore de Localização'!$B:$B,"",0,1)</f>
        <v>Utilidades</v>
      </c>
      <c r="C280" s="42" t="str">
        <f>_xlfn.XLOOKUP(Tabela1[[#This Row],[Processo]],'Árvore de Localização'!$D:$D,'Árvore de Localização'!$C:$C,"",0,1)</f>
        <v>Sistema de Refrigeração de Água</v>
      </c>
      <c r="D280" s="39" t="s">
        <v>246</v>
      </c>
      <c r="E280" s="19" t="s">
        <v>246</v>
      </c>
      <c r="F280" s="19" t="s">
        <v>43</v>
      </c>
      <c r="G280" s="101"/>
      <c r="H280" s="101"/>
      <c r="I280" s="112"/>
      <c r="J280" s="119"/>
      <c r="K280" s="52" t="str">
        <f>IF(OR(Tabela1[[#This Row],[Replan]]="",Tabela1[[#This Row],[Previsto (LB)]]=""),"",Tabela1[[#This Row],[Previsto (LB)]]-Tabela1[[#This Row],[Replan]])</f>
        <v/>
      </c>
      <c r="L280" s="20" t="s">
        <v>1099</v>
      </c>
      <c r="M280" s="21"/>
      <c r="N280" s="21"/>
      <c r="O280" s="19"/>
      <c r="P280" s="19"/>
      <c r="Q280" s="19"/>
      <c r="R280" s="105"/>
      <c r="S280" s="38">
        <f t="shared" si="18"/>
        <v>3</v>
      </c>
      <c r="T280" s="27"/>
    </row>
    <row r="281" spans="1:20" s="11" customFormat="1" ht="12.5" x14ac:dyDescent="0.35">
      <c r="A281" s="18" t="str">
        <f>_xlfn.XLOOKUP("*"&amp;Tabela1[[#This Row],[Processo]]&amp;"*",'Árvore de Localização'!$H:$H,'Árvore de Localização'!$G:$G,"0000",2)</f>
        <v>2114.B</v>
      </c>
      <c r="B281" s="38" t="str">
        <f>_xlfn.XLOOKUP(Tabela1[[#This Row],[Processo]],'Árvore de Localização'!$D:$D,'Árvore de Localização'!$B:$B,"",0,1)</f>
        <v>Utilidades</v>
      </c>
      <c r="C281" s="42" t="str">
        <f>_xlfn.XLOOKUP(Tabela1[[#This Row],[Processo]],'Árvore de Localização'!$D:$D,'Árvore de Localização'!$C:$C,"",0,1)</f>
        <v>Sistema de Refrigeração de Água</v>
      </c>
      <c r="D281" s="39" t="s">
        <v>246</v>
      </c>
      <c r="E281" s="19" t="s">
        <v>246</v>
      </c>
      <c r="F281" s="19" t="s">
        <v>43</v>
      </c>
      <c r="G281" s="101"/>
      <c r="H281" s="101"/>
      <c r="I281" s="112"/>
      <c r="J281" s="119"/>
      <c r="K281" s="52" t="str">
        <f>IF(OR(Tabela1[[#This Row],[Replan]]="",Tabela1[[#This Row],[Previsto (LB)]]=""),"",Tabela1[[#This Row],[Previsto (LB)]]-Tabela1[[#This Row],[Replan]])</f>
        <v/>
      </c>
      <c r="L281" s="20" t="s">
        <v>1091</v>
      </c>
      <c r="M281" s="21"/>
      <c r="N281" s="21"/>
      <c r="O281" s="19"/>
      <c r="P281" s="19"/>
      <c r="Q281" s="19"/>
      <c r="R281" s="105"/>
      <c r="S281" s="38">
        <f t="shared" si="18"/>
        <v>3</v>
      </c>
      <c r="T281" s="27"/>
    </row>
    <row r="282" spans="1:20" s="11" customFormat="1" ht="12.5" x14ac:dyDescent="0.35">
      <c r="A282" s="18" t="str">
        <f>_xlfn.XLOOKUP("*"&amp;Tabela1[[#This Row],[Processo]]&amp;"*",'Árvore de Localização'!$H:$H,'Árvore de Localização'!$G:$G,"0000",2)</f>
        <v>2114.B</v>
      </c>
      <c r="B282" s="38" t="str">
        <f>_xlfn.XLOOKUP(Tabela1[[#This Row],[Processo]],'Árvore de Localização'!$D:$D,'Árvore de Localização'!$B:$B,"",0,1)</f>
        <v>Utilidades</v>
      </c>
      <c r="C282" s="42" t="str">
        <f>_xlfn.XLOOKUP(Tabela1[[#This Row],[Processo]],'Árvore de Localização'!$D:$D,'Árvore de Localização'!$C:$C,"",0,1)</f>
        <v>Sistema de Refrigeração de Água</v>
      </c>
      <c r="D282" s="39" t="s">
        <v>246</v>
      </c>
      <c r="E282" s="19" t="s">
        <v>246</v>
      </c>
      <c r="F282" s="19" t="s">
        <v>43</v>
      </c>
      <c r="G282" s="101"/>
      <c r="H282" s="101"/>
      <c r="I282" s="112"/>
      <c r="J282" s="119"/>
      <c r="K282" s="52" t="str">
        <f>IF(OR(Tabela1[[#This Row],[Replan]]="",Tabela1[[#This Row],[Previsto (LB)]]=""),"",Tabela1[[#This Row],[Previsto (LB)]]-Tabela1[[#This Row],[Replan]])</f>
        <v/>
      </c>
      <c r="L282" s="20" t="s">
        <v>1084</v>
      </c>
      <c r="M282" s="21"/>
      <c r="N282" s="21"/>
      <c r="O282" s="19"/>
      <c r="P282" s="19"/>
      <c r="Q282" s="19"/>
      <c r="R282" s="105"/>
      <c r="S282" s="38">
        <f t="shared" si="18"/>
        <v>3</v>
      </c>
      <c r="T282" s="27"/>
    </row>
    <row r="283" spans="1:20" s="11" customFormat="1" ht="12.5" x14ac:dyDescent="0.35">
      <c r="A283" s="18" t="str">
        <f>_xlfn.XLOOKUP("*"&amp;Tabela1[[#This Row],[Processo]]&amp;"*",'Árvore de Localização'!$H:$H,'Árvore de Localização'!$G:$G,"0000",2)</f>
        <v>2123.F</v>
      </c>
      <c r="B283" s="38" t="str">
        <f>_xlfn.XLOOKUP(Tabela1[[#This Row],[Processo]],'Árvore de Localização'!$D:$D,'Árvore de Localização'!$B:$B,"",0,1)</f>
        <v>Administração</v>
      </c>
      <c r="C283" s="42" t="str">
        <f>_xlfn.XLOOKUP(Tabela1[[#This Row],[Processo]],'Árvore de Localização'!$D:$D,'Árvore de Localização'!$C:$C,"",0,1)</f>
        <v>Administração</v>
      </c>
      <c r="D283" s="39" t="s">
        <v>196</v>
      </c>
      <c r="E283" s="19" t="s">
        <v>371</v>
      </c>
      <c r="F283" s="19" t="s">
        <v>43</v>
      </c>
      <c r="G283" s="101"/>
      <c r="H283" s="101"/>
      <c r="I283" s="112"/>
      <c r="J283" s="119"/>
      <c r="K283" s="52" t="str">
        <f>IF(OR(Tabela1[[#This Row],[Replan]]="",Tabela1[[#This Row],[Previsto (LB)]]=""),"",Tabela1[[#This Row],[Previsto (LB)]]-Tabela1[[#This Row],[Replan]])</f>
        <v/>
      </c>
      <c r="L283" s="20" t="s">
        <v>1675</v>
      </c>
      <c r="M283" s="21"/>
      <c r="N283" s="21"/>
      <c r="O283" s="19"/>
      <c r="P283" s="19"/>
      <c r="Q283" s="19"/>
      <c r="R283" s="105"/>
      <c r="S283" s="38">
        <f>IF(R283="Não iniciado",1,IF(R283="Em andamento",2,3))</f>
        <v>3</v>
      </c>
      <c r="T283" s="27"/>
    </row>
    <row r="284" spans="1:20" s="11" customFormat="1" ht="12.5" x14ac:dyDescent="0.35">
      <c r="A284" s="18" t="str">
        <f>_xlfn.XLOOKUP("*"&amp;Tabela1[[#This Row],[Processo]]&amp;"*",'Árvore de Localização'!$H:$H,'Árvore de Localização'!$G:$G,"0000",2)</f>
        <v>2123.F</v>
      </c>
      <c r="B284" s="38" t="str">
        <f>_xlfn.XLOOKUP(Tabela1[[#This Row],[Processo]],'Árvore de Localização'!$D:$D,'Árvore de Localização'!$B:$B,"",0,1)</f>
        <v>Administração</v>
      </c>
      <c r="C284" s="42" t="str">
        <f>_xlfn.XLOOKUP(Tabela1[[#This Row],[Processo]],'Árvore de Localização'!$D:$D,'Árvore de Localização'!$C:$C,"",0,1)</f>
        <v>Administração</v>
      </c>
      <c r="D284" s="39" t="s">
        <v>196</v>
      </c>
      <c r="E284" s="19" t="s">
        <v>371</v>
      </c>
      <c r="F284" s="19" t="s">
        <v>43</v>
      </c>
      <c r="G284" s="101"/>
      <c r="H284" s="101"/>
      <c r="I284" s="112"/>
      <c r="J284" s="119"/>
      <c r="K284" s="52" t="str">
        <f>IF(OR(Tabela1[[#This Row],[Replan]]="",Tabela1[[#This Row],[Previsto (LB)]]=""),"",Tabela1[[#This Row],[Previsto (LB)]]-Tabela1[[#This Row],[Replan]])</f>
        <v/>
      </c>
      <c r="L284" s="20" t="s">
        <v>1676</v>
      </c>
      <c r="M284" s="21"/>
      <c r="N284" s="21"/>
      <c r="O284" s="19"/>
      <c r="P284" s="19"/>
      <c r="Q284" s="19"/>
      <c r="R284" s="105"/>
      <c r="S284" s="38">
        <f>IF(R284="Não iniciado",1,IF(R284="Em andamento",2,3))</f>
        <v>3</v>
      </c>
      <c r="T284" s="27"/>
    </row>
    <row r="285" spans="1:20" s="11" customFormat="1" ht="12.5" x14ac:dyDescent="0.35">
      <c r="A285" s="18" t="str">
        <f>_xlfn.XLOOKUP("*"&amp;Tabela1[[#This Row],[Processo]]&amp;"*",'Árvore de Localização'!$H:$H,'Árvore de Localização'!$G:$G,"0000",2)</f>
        <v>2123.F</v>
      </c>
      <c r="B285" s="38" t="str">
        <f>_xlfn.XLOOKUP(Tabela1[[#This Row],[Processo]],'Árvore de Localização'!$D:$D,'Árvore de Localização'!$B:$B,"",0,1)</f>
        <v>Administração</v>
      </c>
      <c r="C285" s="42" t="str">
        <f>_xlfn.XLOOKUP(Tabela1[[#This Row],[Processo]],'Árvore de Localização'!$D:$D,'Árvore de Localização'!$C:$C,"",0,1)</f>
        <v>Administração</v>
      </c>
      <c r="D285" s="39" t="s">
        <v>196</v>
      </c>
      <c r="E285" s="19" t="s">
        <v>371</v>
      </c>
      <c r="F285" s="19" t="s">
        <v>43</v>
      </c>
      <c r="G285" s="101"/>
      <c r="H285" s="101"/>
      <c r="I285" s="112"/>
      <c r="J285" s="119"/>
      <c r="K285" s="52" t="str">
        <f>IF(OR(Tabela1[[#This Row],[Replan]]="",Tabela1[[#This Row],[Previsto (LB)]]=""),"",Tabela1[[#This Row],[Previsto (LB)]]-Tabela1[[#This Row],[Replan]])</f>
        <v/>
      </c>
      <c r="L285" s="20" t="s">
        <v>1677</v>
      </c>
      <c r="M285" s="21"/>
      <c r="N285" s="21"/>
      <c r="O285" s="19"/>
      <c r="P285" s="19"/>
      <c r="Q285" s="19"/>
      <c r="R285" s="105"/>
      <c r="S285" s="38">
        <f>IF(R285="Não iniciado",1,IF(R285="Em andamento",2,3))</f>
        <v>3</v>
      </c>
      <c r="T285" s="27"/>
    </row>
    <row r="286" spans="1:20" s="11" customFormat="1" ht="12.5" x14ac:dyDescent="0.35">
      <c r="A286" s="18" t="str">
        <f>_xlfn.XLOOKUP("*"&amp;Tabela1[[#This Row],[Processo]]&amp;"*",'Árvore de Localização'!$H:$H,'Árvore de Localização'!$G:$G,"0000",2)</f>
        <v>2123.F</v>
      </c>
      <c r="B286" s="38" t="str">
        <f>_xlfn.XLOOKUP(Tabela1[[#This Row],[Processo]],'Árvore de Localização'!$D:$D,'Árvore de Localização'!$B:$B,"",0,1)</f>
        <v>Administração</v>
      </c>
      <c r="C286" s="42" t="str">
        <f>_xlfn.XLOOKUP(Tabela1[[#This Row],[Processo]],'Árvore de Localização'!$D:$D,'Árvore de Localização'!$C:$C,"",0,1)</f>
        <v>Administração</v>
      </c>
      <c r="D286" s="39" t="s">
        <v>196</v>
      </c>
      <c r="E286" s="19" t="s">
        <v>371</v>
      </c>
      <c r="F286" s="19" t="s">
        <v>43</v>
      </c>
      <c r="G286" s="101"/>
      <c r="H286" s="101"/>
      <c r="I286" s="112"/>
      <c r="J286" s="119"/>
      <c r="K286" s="52" t="str">
        <f>IF(OR(Tabela1[[#This Row],[Replan]]="",Tabela1[[#This Row],[Previsto (LB)]]=""),"",Tabela1[[#This Row],[Previsto (LB)]]-Tabela1[[#This Row],[Replan]])</f>
        <v/>
      </c>
      <c r="L286" s="20" t="s">
        <v>1340</v>
      </c>
      <c r="M286" s="21"/>
      <c r="N286" s="21"/>
      <c r="O286" s="19"/>
      <c r="P286" s="19"/>
      <c r="Q286" s="19"/>
      <c r="R286" s="105"/>
      <c r="S286" s="38">
        <f>IF(R286="Não iniciado",1,IF(R286="Em andamento",2,3))</f>
        <v>3</v>
      </c>
      <c r="T286" s="27"/>
    </row>
    <row r="287" spans="1:20" s="11" customFormat="1" ht="12.5" x14ac:dyDescent="0.35">
      <c r="A287" s="18" t="str">
        <f>_xlfn.XLOOKUP("*"&amp;Tabela1[[#This Row],[Processo]]&amp;"*",'Árvore de Localização'!$H:$H,'Árvore de Localização'!$G:$G,"0000",2)</f>
        <v>2123.F</v>
      </c>
      <c r="B287" s="38" t="str">
        <f>_xlfn.XLOOKUP(Tabela1[[#This Row],[Processo]],'Árvore de Localização'!$D:$D,'Árvore de Localização'!$B:$B,"",0,1)</f>
        <v>Administração</v>
      </c>
      <c r="C287" s="42" t="str">
        <f>_xlfn.XLOOKUP(Tabela1[[#This Row],[Processo]],'Árvore de Localização'!$D:$D,'Árvore de Localização'!$C:$C,"",0,1)</f>
        <v>Administração</v>
      </c>
      <c r="D287" s="39" t="s">
        <v>196</v>
      </c>
      <c r="E287" s="19" t="s">
        <v>371</v>
      </c>
      <c r="F287" s="19" t="s">
        <v>43</v>
      </c>
      <c r="G287" s="101"/>
      <c r="H287" s="101"/>
      <c r="I287" s="112"/>
      <c r="J287" s="119"/>
      <c r="K287" s="52" t="str">
        <f>IF(OR(Tabela1[[#This Row],[Replan]]="",Tabela1[[#This Row],[Previsto (LB)]]=""),"",Tabela1[[#This Row],[Previsto (LB)]]-Tabela1[[#This Row],[Replan]])</f>
        <v/>
      </c>
      <c r="L287" s="20" t="s">
        <v>1333</v>
      </c>
      <c r="M287" s="21"/>
      <c r="N287" s="21"/>
      <c r="O287" s="19"/>
      <c r="P287" s="19"/>
      <c r="Q287" s="19"/>
      <c r="R287" s="105"/>
      <c r="S287" s="38">
        <f>IF(R287="Não iniciado",1,IF(R287="Em andamento",2,3))</f>
        <v>3</v>
      </c>
      <c r="T287" s="27"/>
    </row>
  </sheetData>
  <mergeCells count="2">
    <mergeCell ref="C2:C7"/>
    <mergeCell ref="M2:M7"/>
  </mergeCells>
  <phoneticPr fontId="1" type="noConversion"/>
  <conditionalFormatting sqref="R9">
    <cfRule type="iconSet" priority="1">
      <iconSet showValue="0">
        <cfvo type="percent" val="0"/>
        <cfvo type="num" val="2"/>
        <cfvo type="num" val="3"/>
      </iconSet>
    </cfRule>
  </conditionalFormatting>
  <conditionalFormatting sqref="S9:S287">
    <cfRule type="iconSet" priority="19">
      <iconSet showValue="0">
        <cfvo type="percent" val="0"/>
        <cfvo type="num" val="2"/>
        <cfvo type="num" val="3"/>
      </iconSet>
    </cfRule>
  </conditionalFormatting>
  <conditionalFormatting sqref="T10:T24">
    <cfRule type="iconSet" priority="4">
      <iconSet>
        <cfvo type="percent" val="0"/>
        <cfvo type="num" val="2"/>
        <cfvo type="num" val="3"/>
      </iconSet>
    </cfRule>
  </conditionalFormatting>
  <dataValidations count="1">
    <dataValidation type="list" allowBlank="1" showInputMessage="1" showErrorMessage="1" sqref="O10:O287" xr:uid="{E783FF6E-74D0-455D-ACB3-A9B816EC25FB}">
      <formula1>"Civil, Metálica, Mecânica, Elétrica, Instrumentação, Automação"</formula1>
    </dataValidation>
  </dataValidations>
  <pageMargins left="0.511811024" right="0.511811024" top="0.78740157499999996" bottom="0.78740157499999996" header="0.31496062000000002" footer="0.31496062000000002"/>
  <pageSetup paperSize="9" scale="38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C1B997-20DA-4562-AD61-34D70C798EC0}">
          <x14:formula1>
            <xm:f>'Árvore de Localização'!$D$3:$D$89</xm:f>
          </x14:formula1>
          <xm:sqref>D10:D287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2830F-285B-46B9-B8E6-7FBAE5577B64}">
  <sheetPr>
    <outlinePr summaryBelow="0"/>
  </sheetPr>
  <dimension ref="A1:J1272"/>
  <sheetViews>
    <sheetView showGridLines="0" zoomScale="80" zoomScaleNormal="80" workbookViewId="0">
      <selection activeCell="D931" sqref="D931"/>
    </sheetView>
  </sheetViews>
  <sheetFormatPr defaultRowHeight="14.5" outlineLevelRow="3" x14ac:dyDescent="0.35"/>
  <cols>
    <col min="1" max="1" width="6.6328125" customWidth="1"/>
    <col min="2" max="2" width="18.36328125" customWidth="1"/>
    <col min="3" max="3" width="14.54296875" bestFit="1" customWidth="1"/>
    <col min="4" max="4" width="85.81640625" bestFit="1" customWidth="1"/>
    <col min="5" max="5" width="10.08984375" bestFit="1" customWidth="1"/>
    <col min="8" max="9" width="14" style="83" bestFit="1" customWidth="1"/>
    <col min="10" max="10" width="31.453125" style="84" customWidth="1"/>
  </cols>
  <sheetData>
    <row r="1" spans="1:10" ht="28" customHeight="1" x14ac:dyDescent="0.35">
      <c r="A1" s="53" t="s">
        <v>373</v>
      </c>
      <c r="B1" s="53" t="s">
        <v>374</v>
      </c>
      <c r="C1" s="53" t="s">
        <v>375</v>
      </c>
      <c r="D1" s="54" t="s">
        <v>376</v>
      </c>
      <c r="E1" s="55" t="s">
        <v>377</v>
      </c>
      <c r="F1" s="55" t="s">
        <v>378</v>
      </c>
      <c r="G1" s="55" t="s">
        <v>379</v>
      </c>
      <c r="H1" s="56" t="s">
        <v>380</v>
      </c>
      <c r="I1" s="56" t="s">
        <v>381</v>
      </c>
      <c r="J1" s="53" t="s">
        <v>80</v>
      </c>
    </row>
    <row r="2" spans="1:10" ht="18.5" customHeight="1" x14ac:dyDescent="0.35">
      <c r="A2" s="57">
        <v>1</v>
      </c>
      <c r="B2" s="57" t="s">
        <v>382</v>
      </c>
      <c r="C2" s="57">
        <v>1</v>
      </c>
      <c r="D2" s="58" t="s">
        <v>85</v>
      </c>
      <c r="E2" s="59" t="str">
        <f>IFERROR(AVERAGE(E3,E6),"")</f>
        <v/>
      </c>
      <c r="F2" s="57">
        <f>DATEDIF(H2,I2,"D")</f>
        <v>46301</v>
      </c>
      <c r="G2" s="57">
        <f>NETWORKDAYS.INTL(H2,I2)</f>
        <v>33072</v>
      </c>
      <c r="H2" s="60">
        <f>MIN(H3,H6)</f>
        <v>0</v>
      </c>
      <c r="I2" s="60">
        <f>MAX(I3,I6)</f>
        <v>46301</v>
      </c>
      <c r="J2" s="61"/>
    </row>
    <row r="3" spans="1:10" x14ac:dyDescent="0.35">
      <c r="A3" s="62">
        <v>2</v>
      </c>
      <c r="B3" s="62" t="s">
        <v>383</v>
      </c>
      <c r="C3" s="62" t="s">
        <v>28</v>
      </c>
      <c r="D3" s="63" t="s">
        <v>384</v>
      </c>
      <c r="E3" s="64" t="str">
        <f>IFERROR(AVERAGE(E4,E5),"")</f>
        <v/>
      </c>
      <c r="F3" s="62">
        <f>DATEDIF(H3,I3,"D")</f>
        <v>30</v>
      </c>
      <c r="G3" s="62">
        <f>NETWORKDAYS.INTL(H3,I3)</f>
        <v>22</v>
      </c>
      <c r="H3" s="65">
        <f>MIN(H4:H5)</f>
        <v>46271</v>
      </c>
      <c r="I3" s="65">
        <f>MAX(I4:I5)</f>
        <v>46301</v>
      </c>
      <c r="J3" s="66"/>
    </row>
    <row r="4" spans="1:10" outlineLevel="1" x14ac:dyDescent="0.35">
      <c r="A4" s="67">
        <v>3</v>
      </c>
      <c r="B4" s="67" t="s">
        <v>385</v>
      </c>
      <c r="C4" s="67" t="s">
        <v>386</v>
      </c>
      <c r="D4" s="68" t="s">
        <v>387</v>
      </c>
      <c r="E4" s="69"/>
      <c r="F4" s="67">
        <f>DATEDIF(H4,I4,"D")</f>
        <v>0</v>
      </c>
      <c r="G4" s="67">
        <f>NETWORKDAYS.INTL(H4,I4)</f>
        <v>0</v>
      </c>
      <c r="H4" s="70">
        <f>H5-30</f>
        <v>46271</v>
      </c>
      <c r="I4" s="70">
        <f>I5-30</f>
        <v>46271</v>
      </c>
      <c r="J4" s="71"/>
    </row>
    <row r="5" spans="1:10" outlineLevel="1" x14ac:dyDescent="0.35">
      <c r="A5" s="67">
        <v>3</v>
      </c>
      <c r="B5" s="67" t="s">
        <v>385</v>
      </c>
      <c r="C5" s="67" t="s">
        <v>386</v>
      </c>
      <c r="D5" s="68" t="s">
        <v>388</v>
      </c>
      <c r="E5" s="69"/>
      <c r="F5" s="67">
        <f>DATEDIF(H5,I5,"D")</f>
        <v>0</v>
      </c>
      <c r="G5" s="67">
        <f>NETWORKDAYS.INTL(H5,I5)</f>
        <v>1</v>
      </c>
      <c r="H5" s="88">
        <v>46301</v>
      </c>
      <c r="I5" s="88">
        <v>46301</v>
      </c>
      <c r="J5" s="71"/>
    </row>
    <row r="6" spans="1:10" x14ac:dyDescent="0.35">
      <c r="A6" s="62">
        <v>2</v>
      </c>
      <c r="B6" s="62" t="s">
        <v>383</v>
      </c>
      <c r="C6" s="62" t="s">
        <v>29</v>
      </c>
      <c r="D6" s="63" t="s">
        <v>389</v>
      </c>
      <c r="E6" s="64" t="str">
        <f>IFERROR(AVERAGE(E7,E62,E117,E172,E227,E282,E345,E403,E458,E513,E568,E623,E678,E733,E821,E876,E931,E986,E1041,E1096,E1156,E1211),"")</f>
        <v/>
      </c>
      <c r="F6" s="62">
        <f t="shared" ref="F6:F69" si="0">IFERROR(DATEDIF(H6,I6,"D"),0)</f>
        <v>0</v>
      </c>
      <c r="G6" s="62">
        <f t="shared" ref="G6:G69" si="1">IFERROR(NETWORKDAYS.INTL(H6,I6),0)</f>
        <v>0</v>
      </c>
      <c r="H6" s="65">
        <f>MIN(H7,H62,H117,H172,H227,H282,H345,H403,H458,H513,H568,H623,H678,H733,H821,H876,H931,H986,H1041,H1096,H1156,H1211)</f>
        <v>0</v>
      </c>
      <c r="I6" s="65">
        <f>MAX(I7,I62,I117,I172,I227,I282,I345,I403,I458,I513,I568,I623,I678,I733,I821,I876,I931,I986,I1041,I1096,I1156,I1211)</f>
        <v>0</v>
      </c>
      <c r="J6" s="66"/>
    </row>
    <row r="7" spans="1:10" outlineLevel="1" collapsed="1" x14ac:dyDescent="0.35">
      <c r="A7" s="67">
        <v>3</v>
      </c>
      <c r="B7" s="67" t="s">
        <v>298</v>
      </c>
      <c r="C7" s="67" t="s">
        <v>390</v>
      </c>
      <c r="D7" s="73" t="s">
        <v>391</v>
      </c>
      <c r="E7" s="85" t="str">
        <f>IFERROR(AVERAGE(E8,E17,E26,E35,E44,E53),"")</f>
        <v/>
      </c>
      <c r="F7" s="67">
        <f t="shared" si="0"/>
        <v>0</v>
      </c>
      <c r="G7" s="67">
        <f t="shared" si="1"/>
        <v>0</v>
      </c>
      <c r="H7" s="72">
        <f>MIN(H8,H17,H26,H35,H44,H53)</f>
        <v>0</v>
      </c>
      <c r="I7" s="72">
        <f>MAX(I8,I17,I26,I35,I44,I53)</f>
        <v>0</v>
      </c>
      <c r="J7" s="71"/>
    </row>
    <row r="8" spans="1:10" hidden="1" outlineLevel="2" collapsed="1" x14ac:dyDescent="0.35">
      <c r="A8" s="74">
        <v>4</v>
      </c>
      <c r="B8" s="74" t="s">
        <v>392</v>
      </c>
      <c r="C8" s="74" t="s">
        <v>393</v>
      </c>
      <c r="D8" s="75" t="s">
        <v>394</v>
      </c>
      <c r="E8" s="86" t="str">
        <f>IFERROR(SUBTOTAL(1,E9:E16),"")</f>
        <v/>
      </c>
      <c r="F8" s="74">
        <f t="shared" si="0"/>
        <v>0</v>
      </c>
      <c r="G8" s="74">
        <f t="shared" si="1"/>
        <v>0</v>
      </c>
      <c r="H8" s="76">
        <f>MIN(H9:H16)</f>
        <v>0</v>
      </c>
      <c r="I8" s="76">
        <f>MAX(I9:I16)</f>
        <v>0</v>
      </c>
      <c r="J8" s="77"/>
    </row>
    <row r="9" spans="1:10" hidden="1" outlineLevel="3" x14ac:dyDescent="0.35">
      <c r="A9" s="78">
        <v>5</v>
      </c>
      <c r="B9" s="78" t="s">
        <v>385</v>
      </c>
      <c r="C9" s="78" t="s">
        <v>395</v>
      </c>
      <c r="D9" s="79" t="s">
        <v>19</v>
      </c>
      <c r="E9" s="87"/>
      <c r="F9" s="80">
        <f t="shared" si="0"/>
        <v>0</v>
      </c>
      <c r="G9" s="80">
        <f t="shared" si="1"/>
        <v>0</v>
      </c>
      <c r="H9" s="81"/>
      <c r="I9" s="81"/>
      <c r="J9" s="82"/>
    </row>
    <row r="10" spans="1:10" hidden="1" outlineLevel="3" x14ac:dyDescent="0.35">
      <c r="A10" s="78">
        <v>5</v>
      </c>
      <c r="B10" s="78" t="s">
        <v>385</v>
      </c>
      <c r="C10" s="78" t="s">
        <v>396</v>
      </c>
      <c r="D10" s="79" t="s">
        <v>325</v>
      </c>
      <c r="E10" s="87"/>
      <c r="F10" s="80">
        <f t="shared" si="0"/>
        <v>0</v>
      </c>
      <c r="G10" s="80">
        <f t="shared" si="1"/>
        <v>0</v>
      </c>
      <c r="H10" s="81"/>
      <c r="I10" s="81"/>
      <c r="J10" s="82"/>
    </row>
    <row r="11" spans="1:10" hidden="1" outlineLevel="3" x14ac:dyDescent="0.35">
      <c r="A11" s="78">
        <v>5</v>
      </c>
      <c r="B11" s="78" t="s">
        <v>385</v>
      </c>
      <c r="C11" s="78" t="s">
        <v>397</v>
      </c>
      <c r="D11" s="79" t="s">
        <v>326</v>
      </c>
      <c r="E11" s="87"/>
      <c r="F11" s="80">
        <f t="shared" si="0"/>
        <v>0</v>
      </c>
      <c r="G11" s="80">
        <f t="shared" si="1"/>
        <v>0</v>
      </c>
      <c r="H11" s="81"/>
      <c r="I11" s="81"/>
      <c r="J11" s="82"/>
    </row>
    <row r="12" spans="1:10" hidden="1" outlineLevel="3" x14ac:dyDescent="0.35">
      <c r="A12" s="78">
        <v>5</v>
      </c>
      <c r="B12" s="78" t="s">
        <v>385</v>
      </c>
      <c r="C12" s="78" t="s">
        <v>398</v>
      </c>
      <c r="D12" s="79" t="s">
        <v>359</v>
      </c>
      <c r="E12" s="87"/>
      <c r="F12" s="80">
        <f t="shared" si="0"/>
        <v>0</v>
      </c>
      <c r="G12" s="80">
        <f t="shared" si="1"/>
        <v>0</v>
      </c>
      <c r="H12" s="81"/>
      <c r="I12" s="81"/>
      <c r="J12" s="82"/>
    </row>
    <row r="13" spans="1:10" hidden="1" outlineLevel="3" x14ac:dyDescent="0.35">
      <c r="A13" s="78">
        <v>5</v>
      </c>
      <c r="B13" s="78" t="s">
        <v>385</v>
      </c>
      <c r="C13" s="78" t="s">
        <v>399</v>
      </c>
      <c r="D13" s="79" t="s">
        <v>327</v>
      </c>
      <c r="E13" s="87"/>
      <c r="F13" s="80">
        <f t="shared" si="0"/>
        <v>0</v>
      </c>
      <c r="G13" s="80">
        <f t="shared" si="1"/>
        <v>0</v>
      </c>
      <c r="H13" s="81"/>
      <c r="I13" s="81"/>
      <c r="J13" s="82"/>
    </row>
    <row r="14" spans="1:10" hidden="1" outlineLevel="3" x14ac:dyDescent="0.35">
      <c r="A14" s="78">
        <v>5</v>
      </c>
      <c r="B14" s="78" t="s">
        <v>385</v>
      </c>
      <c r="C14" s="78" t="s">
        <v>400</v>
      </c>
      <c r="D14" s="79" t="s">
        <v>72</v>
      </c>
      <c r="E14" s="87"/>
      <c r="F14" s="80">
        <f t="shared" si="0"/>
        <v>0</v>
      </c>
      <c r="G14" s="80">
        <f t="shared" si="1"/>
        <v>0</v>
      </c>
      <c r="H14" s="81"/>
      <c r="I14" s="81"/>
      <c r="J14" s="82"/>
    </row>
    <row r="15" spans="1:10" hidden="1" outlineLevel="3" x14ac:dyDescent="0.35">
      <c r="A15" s="78">
        <v>5</v>
      </c>
      <c r="B15" s="78" t="s">
        <v>385</v>
      </c>
      <c r="C15" s="78" t="s">
        <v>401</v>
      </c>
      <c r="D15" s="79" t="s">
        <v>1685</v>
      </c>
      <c r="E15" s="87"/>
      <c r="F15" s="80">
        <f t="shared" si="0"/>
        <v>0</v>
      </c>
      <c r="G15" s="80">
        <f t="shared" si="1"/>
        <v>0</v>
      </c>
      <c r="H15" s="81"/>
      <c r="I15" s="81"/>
      <c r="J15" s="82"/>
    </row>
    <row r="16" spans="1:10" hidden="1" outlineLevel="3" x14ac:dyDescent="0.35">
      <c r="A16" s="78">
        <v>5</v>
      </c>
      <c r="B16" s="78" t="s">
        <v>385</v>
      </c>
      <c r="C16" s="78" t="s">
        <v>402</v>
      </c>
      <c r="D16" s="79" t="s">
        <v>360</v>
      </c>
      <c r="E16" s="87"/>
      <c r="F16" s="80">
        <f t="shared" si="0"/>
        <v>0</v>
      </c>
      <c r="G16" s="80">
        <f t="shared" si="1"/>
        <v>0</v>
      </c>
      <c r="H16" s="81"/>
      <c r="I16" s="81"/>
      <c r="J16" s="82"/>
    </row>
    <row r="17" spans="1:10" hidden="1" outlineLevel="2" collapsed="1" x14ac:dyDescent="0.35">
      <c r="A17" s="74">
        <v>4</v>
      </c>
      <c r="B17" s="74" t="s">
        <v>392</v>
      </c>
      <c r="C17" s="74" t="s">
        <v>403</v>
      </c>
      <c r="D17" s="75" t="s">
        <v>404</v>
      </c>
      <c r="E17" s="86" t="str">
        <f>IFERROR(SUBTOTAL(1,E18:E25),"")</f>
        <v/>
      </c>
      <c r="F17" s="74">
        <f t="shared" si="0"/>
        <v>0</v>
      </c>
      <c r="G17" s="74">
        <f t="shared" si="1"/>
        <v>0</v>
      </c>
      <c r="H17" s="76">
        <f>MIN(H18:H25)</f>
        <v>0</v>
      </c>
      <c r="I17" s="76">
        <f>MAX(I18:I25)</f>
        <v>0</v>
      </c>
      <c r="J17" s="77"/>
    </row>
    <row r="18" spans="1:10" hidden="1" outlineLevel="3" x14ac:dyDescent="0.35">
      <c r="A18" s="78">
        <v>5</v>
      </c>
      <c r="B18" s="78" t="s">
        <v>385</v>
      </c>
      <c r="C18" s="78" t="s">
        <v>405</v>
      </c>
      <c r="D18" s="79"/>
      <c r="E18" s="87"/>
      <c r="F18" s="80">
        <f t="shared" si="0"/>
        <v>0</v>
      </c>
      <c r="G18" s="80">
        <f t="shared" si="1"/>
        <v>0</v>
      </c>
      <c r="H18" s="81"/>
      <c r="I18" s="81"/>
      <c r="J18" s="82"/>
    </row>
    <row r="19" spans="1:10" hidden="1" outlineLevel="3" x14ac:dyDescent="0.35">
      <c r="A19" s="78">
        <v>5</v>
      </c>
      <c r="B19" s="78" t="s">
        <v>385</v>
      </c>
      <c r="C19" s="78" t="s">
        <v>406</v>
      </c>
      <c r="D19" s="79"/>
      <c r="E19" s="87"/>
      <c r="F19" s="80">
        <f t="shared" si="0"/>
        <v>0</v>
      </c>
      <c r="G19" s="80">
        <f t="shared" si="1"/>
        <v>0</v>
      </c>
      <c r="H19" s="81"/>
      <c r="I19" s="81"/>
      <c r="J19" s="82"/>
    </row>
    <row r="20" spans="1:10" hidden="1" outlineLevel="3" x14ac:dyDescent="0.35">
      <c r="A20" s="78">
        <v>5</v>
      </c>
      <c r="B20" s="78" t="s">
        <v>385</v>
      </c>
      <c r="C20" s="78" t="s">
        <v>407</v>
      </c>
      <c r="D20" s="79"/>
      <c r="E20" s="87"/>
      <c r="F20" s="80">
        <f t="shared" si="0"/>
        <v>0</v>
      </c>
      <c r="G20" s="80">
        <f t="shared" si="1"/>
        <v>0</v>
      </c>
      <c r="H20" s="81"/>
      <c r="I20" s="81"/>
      <c r="J20" s="82"/>
    </row>
    <row r="21" spans="1:10" hidden="1" outlineLevel="3" x14ac:dyDescent="0.35">
      <c r="A21" s="78">
        <v>5</v>
      </c>
      <c r="B21" s="78" t="s">
        <v>385</v>
      </c>
      <c r="C21" s="78" t="s">
        <v>408</v>
      </c>
      <c r="D21" s="79"/>
      <c r="E21" s="87"/>
      <c r="F21" s="80">
        <f t="shared" si="0"/>
        <v>0</v>
      </c>
      <c r="G21" s="80">
        <f t="shared" si="1"/>
        <v>0</v>
      </c>
      <c r="H21" s="81"/>
      <c r="I21" s="81"/>
      <c r="J21" s="82"/>
    </row>
    <row r="22" spans="1:10" hidden="1" outlineLevel="3" x14ac:dyDescent="0.35">
      <c r="A22" s="78">
        <v>5</v>
      </c>
      <c r="B22" s="78" t="s">
        <v>385</v>
      </c>
      <c r="C22" s="78" t="s">
        <v>409</v>
      </c>
      <c r="D22" s="79"/>
      <c r="E22" s="87"/>
      <c r="F22" s="80">
        <f t="shared" si="0"/>
        <v>0</v>
      </c>
      <c r="G22" s="80">
        <f t="shared" si="1"/>
        <v>0</v>
      </c>
      <c r="H22" s="81"/>
      <c r="I22" s="81"/>
      <c r="J22" s="82"/>
    </row>
    <row r="23" spans="1:10" hidden="1" outlineLevel="3" x14ac:dyDescent="0.35">
      <c r="A23" s="78">
        <v>5</v>
      </c>
      <c r="B23" s="78" t="s">
        <v>385</v>
      </c>
      <c r="C23" s="78" t="s">
        <v>410</v>
      </c>
      <c r="D23" s="79"/>
      <c r="E23" s="87"/>
      <c r="F23" s="80">
        <f t="shared" si="0"/>
        <v>0</v>
      </c>
      <c r="G23" s="80">
        <f t="shared" si="1"/>
        <v>0</v>
      </c>
      <c r="H23" s="81"/>
      <c r="I23" s="81"/>
      <c r="J23" s="82"/>
    </row>
    <row r="24" spans="1:10" hidden="1" outlineLevel="3" x14ac:dyDescent="0.35">
      <c r="A24" s="78">
        <v>5</v>
      </c>
      <c r="B24" s="78" t="s">
        <v>385</v>
      </c>
      <c r="C24" s="78" t="s">
        <v>411</v>
      </c>
      <c r="D24" s="79"/>
      <c r="E24" s="87"/>
      <c r="F24" s="80">
        <f t="shared" si="0"/>
        <v>0</v>
      </c>
      <c r="G24" s="80">
        <f t="shared" si="1"/>
        <v>0</v>
      </c>
      <c r="H24" s="81"/>
      <c r="I24" s="81"/>
      <c r="J24" s="82"/>
    </row>
    <row r="25" spans="1:10" hidden="1" outlineLevel="3" x14ac:dyDescent="0.35">
      <c r="A25" s="78">
        <v>5</v>
      </c>
      <c r="B25" s="78" t="s">
        <v>385</v>
      </c>
      <c r="C25" s="78" t="s">
        <v>412</v>
      </c>
      <c r="D25" s="79"/>
      <c r="E25" s="87"/>
      <c r="F25" s="80">
        <f t="shared" si="0"/>
        <v>0</v>
      </c>
      <c r="G25" s="80">
        <f t="shared" si="1"/>
        <v>0</v>
      </c>
      <c r="H25" s="81"/>
      <c r="I25" s="81"/>
      <c r="J25" s="82"/>
    </row>
    <row r="26" spans="1:10" hidden="1" outlineLevel="2" collapsed="1" x14ac:dyDescent="0.35">
      <c r="A26" s="74">
        <v>4</v>
      </c>
      <c r="B26" s="74" t="s">
        <v>392</v>
      </c>
      <c r="C26" s="74" t="s">
        <v>413</v>
      </c>
      <c r="D26" s="75" t="s">
        <v>414</v>
      </c>
      <c r="E26" s="86" t="str">
        <f>IFERROR(SUBTOTAL(1,E27:E34),"")</f>
        <v/>
      </c>
      <c r="F26" s="74">
        <f t="shared" si="0"/>
        <v>0</v>
      </c>
      <c r="G26" s="74">
        <f t="shared" si="1"/>
        <v>0</v>
      </c>
      <c r="H26" s="76">
        <f>MIN(H27:H34)</f>
        <v>0</v>
      </c>
      <c r="I26" s="76">
        <f>MAX(I27:I34)</f>
        <v>0</v>
      </c>
      <c r="J26" s="77"/>
    </row>
    <row r="27" spans="1:10" hidden="1" outlineLevel="3" x14ac:dyDescent="0.35">
      <c r="A27" s="78">
        <v>5</v>
      </c>
      <c r="B27" s="78" t="s">
        <v>385</v>
      </c>
      <c r="C27" s="78" t="s">
        <v>415</v>
      </c>
      <c r="D27" s="79" t="s">
        <v>1698</v>
      </c>
      <c r="E27" s="87"/>
      <c r="F27" s="80">
        <f t="shared" si="0"/>
        <v>0</v>
      </c>
      <c r="G27" s="80">
        <f t="shared" si="1"/>
        <v>0</v>
      </c>
      <c r="H27" s="81"/>
      <c r="I27" s="81"/>
      <c r="J27" s="82"/>
    </row>
    <row r="28" spans="1:10" hidden="1" outlineLevel="3" x14ac:dyDescent="0.35">
      <c r="A28" s="78">
        <v>5</v>
      </c>
      <c r="B28" s="78" t="s">
        <v>385</v>
      </c>
      <c r="C28" s="78" t="s">
        <v>416</v>
      </c>
      <c r="D28" s="79"/>
      <c r="E28" s="87"/>
      <c r="F28" s="80">
        <f t="shared" si="0"/>
        <v>0</v>
      </c>
      <c r="G28" s="80">
        <f t="shared" si="1"/>
        <v>0</v>
      </c>
      <c r="H28" s="81"/>
      <c r="I28" s="81"/>
      <c r="J28" s="82"/>
    </row>
    <row r="29" spans="1:10" hidden="1" outlineLevel="3" x14ac:dyDescent="0.35">
      <c r="A29" s="78">
        <v>5</v>
      </c>
      <c r="B29" s="78" t="s">
        <v>385</v>
      </c>
      <c r="C29" s="78" t="s">
        <v>417</v>
      </c>
      <c r="D29" s="79"/>
      <c r="E29" s="87"/>
      <c r="F29" s="80">
        <f t="shared" si="0"/>
        <v>0</v>
      </c>
      <c r="G29" s="80">
        <f t="shared" si="1"/>
        <v>0</v>
      </c>
      <c r="H29" s="81"/>
      <c r="I29" s="81"/>
      <c r="J29" s="82"/>
    </row>
    <row r="30" spans="1:10" hidden="1" outlineLevel="3" x14ac:dyDescent="0.35">
      <c r="A30" s="78">
        <v>5</v>
      </c>
      <c r="B30" s="78" t="s">
        <v>385</v>
      </c>
      <c r="C30" s="78" t="s">
        <v>418</v>
      </c>
      <c r="D30" s="79"/>
      <c r="E30" s="87"/>
      <c r="F30" s="80">
        <f t="shared" si="0"/>
        <v>0</v>
      </c>
      <c r="G30" s="80">
        <f t="shared" si="1"/>
        <v>0</v>
      </c>
      <c r="H30" s="81"/>
      <c r="I30" s="81"/>
      <c r="J30" s="82"/>
    </row>
    <row r="31" spans="1:10" hidden="1" outlineLevel="3" x14ac:dyDescent="0.35">
      <c r="A31" s="78">
        <v>5</v>
      </c>
      <c r="B31" s="78" t="s">
        <v>385</v>
      </c>
      <c r="C31" s="78" t="s">
        <v>419</v>
      </c>
      <c r="D31" s="79"/>
      <c r="E31" s="87"/>
      <c r="F31" s="80">
        <f t="shared" si="0"/>
        <v>0</v>
      </c>
      <c r="G31" s="80">
        <f t="shared" si="1"/>
        <v>0</v>
      </c>
      <c r="H31" s="81"/>
      <c r="I31" s="81"/>
      <c r="J31" s="82"/>
    </row>
    <row r="32" spans="1:10" hidden="1" outlineLevel="3" x14ac:dyDescent="0.35">
      <c r="A32" s="78">
        <v>5</v>
      </c>
      <c r="B32" s="78" t="s">
        <v>385</v>
      </c>
      <c r="C32" s="78" t="s">
        <v>420</v>
      </c>
      <c r="D32" s="79"/>
      <c r="E32" s="87"/>
      <c r="F32" s="80">
        <f t="shared" si="0"/>
        <v>0</v>
      </c>
      <c r="G32" s="80">
        <f t="shared" si="1"/>
        <v>0</v>
      </c>
      <c r="H32" s="81"/>
      <c r="I32" s="81"/>
      <c r="J32" s="82"/>
    </row>
    <row r="33" spans="1:10" hidden="1" outlineLevel="3" x14ac:dyDescent="0.35">
      <c r="A33" s="78">
        <v>5</v>
      </c>
      <c r="B33" s="78" t="s">
        <v>385</v>
      </c>
      <c r="C33" s="78" t="s">
        <v>421</v>
      </c>
      <c r="D33" s="79"/>
      <c r="E33" s="87"/>
      <c r="F33" s="80">
        <f t="shared" si="0"/>
        <v>0</v>
      </c>
      <c r="G33" s="80">
        <f t="shared" si="1"/>
        <v>0</v>
      </c>
      <c r="H33" s="81"/>
      <c r="I33" s="81"/>
      <c r="J33" s="82"/>
    </row>
    <row r="34" spans="1:10" hidden="1" outlineLevel="3" x14ac:dyDescent="0.35">
      <c r="A34" s="78">
        <v>5</v>
      </c>
      <c r="B34" s="78" t="s">
        <v>385</v>
      </c>
      <c r="C34" s="78" t="s">
        <v>422</v>
      </c>
      <c r="D34" s="79"/>
      <c r="E34" s="87"/>
      <c r="F34" s="80">
        <f t="shared" si="0"/>
        <v>0</v>
      </c>
      <c r="G34" s="80">
        <f t="shared" si="1"/>
        <v>0</v>
      </c>
      <c r="H34" s="81"/>
      <c r="I34" s="81"/>
      <c r="J34" s="82"/>
    </row>
    <row r="35" spans="1:10" hidden="1" outlineLevel="2" collapsed="1" x14ac:dyDescent="0.35">
      <c r="A35" s="74">
        <v>4</v>
      </c>
      <c r="B35" s="74" t="s">
        <v>392</v>
      </c>
      <c r="C35" s="74" t="s">
        <v>423</v>
      </c>
      <c r="D35" s="75" t="s">
        <v>424</v>
      </c>
      <c r="E35" s="86" t="str">
        <f>IFERROR(SUBTOTAL(1,E36:E43),"")</f>
        <v/>
      </c>
      <c r="F35" s="74">
        <f t="shared" si="0"/>
        <v>0</v>
      </c>
      <c r="G35" s="74">
        <f t="shared" si="1"/>
        <v>0</v>
      </c>
      <c r="H35" s="76">
        <f>MIN(H36:H43)</f>
        <v>0</v>
      </c>
      <c r="I35" s="76">
        <f>MAX(I36:I43)</f>
        <v>0</v>
      </c>
      <c r="J35" s="77"/>
    </row>
    <row r="36" spans="1:10" hidden="1" outlineLevel="3" x14ac:dyDescent="0.35">
      <c r="A36" s="78">
        <v>5</v>
      </c>
      <c r="B36" s="78" t="s">
        <v>385</v>
      </c>
      <c r="C36" s="78" t="s">
        <v>425</v>
      </c>
      <c r="D36" s="79"/>
      <c r="E36" s="87"/>
      <c r="F36" s="80">
        <f t="shared" si="0"/>
        <v>0</v>
      </c>
      <c r="G36" s="80">
        <f t="shared" si="1"/>
        <v>0</v>
      </c>
      <c r="H36" s="81"/>
      <c r="I36" s="81"/>
      <c r="J36" s="82"/>
    </row>
    <row r="37" spans="1:10" hidden="1" outlineLevel="3" x14ac:dyDescent="0.35">
      <c r="A37" s="78">
        <v>5</v>
      </c>
      <c r="B37" s="78" t="s">
        <v>385</v>
      </c>
      <c r="C37" s="78" t="s">
        <v>426</v>
      </c>
      <c r="D37" s="79"/>
      <c r="E37" s="87"/>
      <c r="F37" s="80">
        <f t="shared" si="0"/>
        <v>0</v>
      </c>
      <c r="G37" s="80">
        <f t="shared" si="1"/>
        <v>0</v>
      </c>
      <c r="H37" s="81"/>
      <c r="I37" s="81"/>
      <c r="J37" s="82"/>
    </row>
    <row r="38" spans="1:10" hidden="1" outlineLevel="3" x14ac:dyDescent="0.35">
      <c r="A38" s="78">
        <v>5</v>
      </c>
      <c r="B38" s="78" t="s">
        <v>385</v>
      </c>
      <c r="C38" s="78" t="s">
        <v>427</v>
      </c>
      <c r="D38" s="79"/>
      <c r="E38" s="87"/>
      <c r="F38" s="80">
        <f t="shared" si="0"/>
        <v>0</v>
      </c>
      <c r="G38" s="80">
        <f t="shared" si="1"/>
        <v>0</v>
      </c>
      <c r="H38" s="81"/>
      <c r="I38" s="81"/>
      <c r="J38" s="82"/>
    </row>
    <row r="39" spans="1:10" hidden="1" outlineLevel="3" x14ac:dyDescent="0.35">
      <c r="A39" s="78">
        <v>5</v>
      </c>
      <c r="B39" s="78" t="s">
        <v>385</v>
      </c>
      <c r="C39" s="78" t="s">
        <v>428</v>
      </c>
      <c r="D39" s="79"/>
      <c r="E39" s="87"/>
      <c r="F39" s="80">
        <f t="shared" si="0"/>
        <v>0</v>
      </c>
      <c r="G39" s="80">
        <f t="shared" si="1"/>
        <v>0</v>
      </c>
      <c r="H39" s="81"/>
      <c r="I39" s="81"/>
      <c r="J39" s="82"/>
    </row>
    <row r="40" spans="1:10" hidden="1" outlineLevel="3" x14ac:dyDescent="0.35">
      <c r="A40" s="78">
        <v>5</v>
      </c>
      <c r="B40" s="78" t="s">
        <v>385</v>
      </c>
      <c r="C40" s="78" t="s">
        <v>429</v>
      </c>
      <c r="D40" s="79"/>
      <c r="E40" s="87"/>
      <c r="F40" s="80">
        <f t="shared" si="0"/>
        <v>0</v>
      </c>
      <c r="G40" s="80">
        <f t="shared" si="1"/>
        <v>0</v>
      </c>
      <c r="H40" s="81"/>
      <c r="I40" s="81"/>
      <c r="J40" s="82"/>
    </row>
    <row r="41" spans="1:10" hidden="1" outlineLevel="3" x14ac:dyDescent="0.35">
      <c r="A41" s="78">
        <v>5</v>
      </c>
      <c r="B41" s="78" t="s">
        <v>385</v>
      </c>
      <c r="C41" s="78" t="s">
        <v>430</v>
      </c>
      <c r="D41" s="79"/>
      <c r="E41" s="87"/>
      <c r="F41" s="80">
        <f t="shared" si="0"/>
        <v>0</v>
      </c>
      <c r="G41" s="80">
        <f t="shared" si="1"/>
        <v>0</v>
      </c>
      <c r="H41" s="81"/>
      <c r="I41" s="81"/>
      <c r="J41" s="82"/>
    </row>
    <row r="42" spans="1:10" hidden="1" outlineLevel="3" x14ac:dyDescent="0.35">
      <c r="A42" s="78">
        <v>5</v>
      </c>
      <c r="B42" s="78" t="s">
        <v>385</v>
      </c>
      <c r="C42" s="78" t="s">
        <v>431</v>
      </c>
      <c r="D42" s="79"/>
      <c r="E42" s="87"/>
      <c r="F42" s="80">
        <f t="shared" si="0"/>
        <v>0</v>
      </c>
      <c r="G42" s="80">
        <f t="shared" si="1"/>
        <v>0</v>
      </c>
      <c r="H42" s="81"/>
      <c r="I42" s="81"/>
      <c r="J42" s="82"/>
    </row>
    <row r="43" spans="1:10" hidden="1" outlineLevel="3" x14ac:dyDescent="0.35">
      <c r="A43" s="78">
        <v>5</v>
      </c>
      <c r="B43" s="78" t="s">
        <v>385</v>
      </c>
      <c r="C43" s="78" t="s">
        <v>432</v>
      </c>
      <c r="D43" s="79"/>
      <c r="E43" s="87"/>
      <c r="F43" s="80">
        <f t="shared" si="0"/>
        <v>0</v>
      </c>
      <c r="G43" s="80">
        <f t="shared" si="1"/>
        <v>0</v>
      </c>
      <c r="H43" s="81"/>
      <c r="I43" s="81"/>
      <c r="J43" s="82"/>
    </row>
    <row r="44" spans="1:10" hidden="1" outlineLevel="2" collapsed="1" x14ac:dyDescent="0.35">
      <c r="A44" s="74">
        <v>4</v>
      </c>
      <c r="B44" s="74" t="s">
        <v>392</v>
      </c>
      <c r="C44" s="74" t="s">
        <v>433</v>
      </c>
      <c r="D44" s="75" t="s">
        <v>434</v>
      </c>
      <c r="E44" s="86" t="str">
        <f>IFERROR(SUBTOTAL(1,E45:E52),"")</f>
        <v/>
      </c>
      <c r="F44" s="74">
        <f t="shared" si="0"/>
        <v>0</v>
      </c>
      <c r="G44" s="74">
        <f t="shared" si="1"/>
        <v>0</v>
      </c>
      <c r="H44" s="76">
        <f>MIN(H45:H52)</f>
        <v>0</v>
      </c>
      <c r="I44" s="76">
        <f>MAX(I45:I52)</f>
        <v>0</v>
      </c>
      <c r="J44" s="77"/>
    </row>
    <row r="45" spans="1:10" hidden="1" outlineLevel="3" x14ac:dyDescent="0.35">
      <c r="A45" s="78">
        <v>5</v>
      </c>
      <c r="B45" s="78" t="s">
        <v>385</v>
      </c>
      <c r="C45" s="78" t="s">
        <v>435</v>
      </c>
      <c r="D45" s="79"/>
      <c r="E45" s="87"/>
      <c r="F45" s="80">
        <f t="shared" si="0"/>
        <v>0</v>
      </c>
      <c r="G45" s="80">
        <f t="shared" si="1"/>
        <v>0</v>
      </c>
      <c r="H45" s="81"/>
      <c r="I45" s="81"/>
      <c r="J45" s="82"/>
    </row>
    <row r="46" spans="1:10" hidden="1" outlineLevel="3" x14ac:dyDescent="0.35">
      <c r="A46" s="78">
        <v>5</v>
      </c>
      <c r="B46" s="78" t="s">
        <v>385</v>
      </c>
      <c r="C46" s="78" t="s">
        <v>436</v>
      </c>
      <c r="D46" s="79"/>
      <c r="E46" s="87"/>
      <c r="F46" s="80">
        <f t="shared" si="0"/>
        <v>0</v>
      </c>
      <c r="G46" s="80">
        <f t="shared" si="1"/>
        <v>0</v>
      </c>
      <c r="H46" s="81"/>
      <c r="I46" s="81"/>
      <c r="J46" s="82"/>
    </row>
    <row r="47" spans="1:10" hidden="1" outlineLevel="3" x14ac:dyDescent="0.35">
      <c r="A47" s="78">
        <v>5</v>
      </c>
      <c r="B47" s="78" t="s">
        <v>385</v>
      </c>
      <c r="C47" s="78" t="s">
        <v>437</v>
      </c>
      <c r="D47" s="79"/>
      <c r="E47" s="87"/>
      <c r="F47" s="80">
        <f t="shared" si="0"/>
        <v>0</v>
      </c>
      <c r="G47" s="80">
        <f t="shared" si="1"/>
        <v>0</v>
      </c>
      <c r="H47" s="81"/>
      <c r="I47" s="81"/>
      <c r="J47" s="82"/>
    </row>
    <row r="48" spans="1:10" hidden="1" outlineLevel="3" x14ac:dyDescent="0.35">
      <c r="A48" s="78">
        <v>5</v>
      </c>
      <c r="B48" s="78" t="s">
        <v>385</v>
      </c>
      <c r="C48" s="78" t="s">
        <v>438</v>
      </c>
      <c r="D48" s="79"/>
      <c r="E48" s="87"/>
      <c r="F48" s="80">
        <f t="shared" si="0"/>
        <v>0</v>
      </c>
      <c r="G48" s="80">
        <f t="shared" si="1"/>
        <v>0</v>
      </c>
      <c r="H48" s="81"/>
      <c r="I48" s="81"/>
      <c r="J48" s="82"/>
    </row>
    <row r="49" spans="1:10" hidden="1" outlineLevel="3" x14ac:dyDescent="0.35">
      <c r="A49" s="78">
        <v>5</v>
      </c>
      <c r="B49" s="78" t="s">
        <v>385</v>
      </c>
      <c r="C49" s="78" t="s">
        <v>439</v>
      </c>
      <c r="D49" s="79"/>
      <c r="E49" s="87"/>
      <c r="F49" s="80">
        <f t="shared" si="0"/>
        <v>0</v>
      </c>
      <c r="G49" s="80">
        <f t="shared" si="1"/>
        <v>0</v>
      </c>
      <c r="H49" s="81"/>
      <c r="I49" s="81"/>
      <c r="J49" s="82"/>
    </row>
    <row r="50" spans="1:10" hidden="1" outlineLevel="3" x14ac:dyDescent="0.35">
      <c r="A50" s="78">
        <v>5</v>
      </c>
      <c r="B50" s="78" t="s">
        <v>385</v>
      </c>
      <c r="C50" s="78" t="s">
        <v>440</v>
      </c>
      <c r="D50" s="79"/>
      <c r="E50" s="87"/>
      <c r="F50" s="80">
        <f t="shared" si="0"/>
        <v>0</v>
      </c>
      <c r="G50" s="80">
        <f t="shared" si="1"/>
        <v>0</v>
      </c>
      <c r="H50" s="81"/>
      <c r="I50" s="81"/>
      <c r="J50" s="82"/>
    </row>
    <row r="51" spans="1:10" hidden="1" outlineLevel="3" x14ac:dyDescent="0.35">
      <c r="A51" s="78">
        <v>5</v>
      </c>
      <c r="B51" s="78" t="s">
        <v>385</v>
      </c>
      <c r="C51" s="78" t="s">
        <v>441</v>
      </c>
      <c r="D51" s="79"/>
      <c r="E51" s="87"/>
      <c r="F51" s="80">
        <f t="shared" si="0"/>
        <v>0</v>
      </c>
      <c r="G51" s="80">
        <f t="shared" si="1"/>
        <v>0</v>
      </c>
      <c r="H51" s="81"/>
      <c r="I51" s="81"/>
      <c r="J51" s="82"/>
    </row>
    <row r="52" spans="1:10" hidden="1" outlineLevel="3" x14ac:dyDescent="0.35">
      <c r="A52" s="78">
        <v>5</v>
      </c>
      <c r="B52" s="78" t="s">
        <v>385</v>
      </c>
      <c r="C52" s="78" t="s">
        <v>442</v>
      </c>
      <c r="D52" s="79"/>
      <c r="E52" s="87"/>
      <c r="F52" s="80">
        <f t="shared" si="0"/>
        <v>0</v>
      </c>
      <c r="G52" s="80">
        <f t="shared" si="1"/>
        <v>0</v>
      </c>
      <c r="H52" s="81"/>
      <c r="I52" s="81"/>
      <c r="J52" s="82"/>
    </row>
    <row r="53" spans="1:10" hidden="1" outlineLevel="2" collapsed="1" x14ac:dyDescent="0.35">
      <c r="A53" s="74">
        <v>4</v>
      </c>
      <c r="B53" s="74" t="s">
        <v>392</v>
      </c>
      <c r="C53" s="74" t="s">
        <v>443</v>
      </c>
      <c r="D53" s="75" t="s">
        <v>444</v>
      </c>
      <c r="E53" s="86" t="str">
        <f>IFERROR(SUBTOTAL(1,E54:E61),"")</f>
        <v/>
      </c>
      <c r="F53" s="74">
        <f t="shared" si="0"/>
        <v>0</v>
      </c>
      <c r="G53" s="74">
        <f t="shared" si="1"/>
        <v>0</v>
      </c>
      <c r="H53" s="76">
        <f>MIN(H54:H61)</f>
        <v>0</v>
      </c>
      <c r="I53" s="76">
        <f>MAX(I54:I61)</f>
        <v>0</v>
      </c>
      <c r="J53" s="77"/>
    </row>
    <row r="54" spans="1:10" hidden="1" outlineLevel="3" x14ac:dyDescent="0.35">
      <c r="A54" s="78">
        <v>5</v>
      </c>
      <c r="B54" s="78" t="s">
        <v>385</v>
      </c>
      <c r="C54" s="78" t="s">
        <v>445</v>
      </c>
      <c r="D54" s="79"/>
      <c r="E54" s="87"/>
      <c r="F54" s="80">
        <f t="shared" si="0"/>
        <v>0</v>
      </c>
      <c r="G54" s="80">
        <f t="shared" si="1"/>
        <v>0</v>
      </c>
      <c r="H54" s="81"/>
      <c r="I54" s="81"/>
      <c r="J54" s="82"/>
    </row>
    <row r="55" spans="1:10" hidden="1" outlineLevel="3" x14ac:dyDescent="0.35">
      <c r="A55" s="78">
        <v>5</v>
      </c>
      <c r="B55" s="78" t="s">
        <v>385</v>
      </c>
      <c r="C55" s="78" t="s">
        <v>446</v>
      </c>
      <c r="D55" s="79"/>
      <c r="E55" s="87"/>
      <c r="F55" s="80">
        <f t="shared" si="0"/>
        <v>0</v>
      </c>
      <c r="G55" s="80">
        <f t="shared" si="1"/>
        <v>0</v>
      </c>
      <c r="H55" s="81"/>
      <c r="I55" s="81"/>
      <c r="J55" s="82"/>
    </row>
    <row r="56" spans="1:10" hidden="1" outlineLevel="3" x14ac:dyDescent="0.35">
      <c r="A56" s="78">
        <v>5</v>
      </c>
      <c r="B56" s="78" t="s">
        <v>385</v>
      </c>
      <c r="C56" s="78" t="s">
        <v>447</v>
      </c>
      <c r="D56" s="79"/>
      <c r="E56" s="87"/>
      <c r="F56" s="80">
        <f t="shared" si="0"/>
        <v>0</v>
      </c>
      <c r="G56" s="80">
        <f t="shared" si="1"/>
        <v>0</v>
      </c>
      <c r="H56" s="81"/>
      <c r="I56" s="81"/>
      <c r="J56" s="82"/>
    </row>
    <row r="57" spans="1:10" hidden="1" outlineLevel="3" x14ac:dyDescent="0.35">
      <c r="A57" s="78">
        <v>5</v>
      </c>
      <c r="B57" s="78" t="s">
        <v>385</v>
      </c>
      <c r="C57" s="78" t="s">
        <v>448</v>
      </c>
      <c r="D57" s="79"/>
      <c r="E57" s="87"/>
      <c r="F57" s="80">
        <f t="shared" si="0"/>
        <v>0</v>
      </c>
      <c r="G57" s="80">
        <f t="shared" si="1"/>
        <v>0</v>
      </c>
      <c r="H57" s="81"/>
      <c r="I57" s="81"/>
      <c r="J57" s="82"/>
    </row>
    <row r="58" spans="1:10" hidden="1" outlineLevel="3" x14ac:dyDescent="0.35">
      <c r="A58" s="78">
        <v>5</v>
      </c>
      <c r="B58" s="78" t="s">
        <v>385</v>
      </c>
      <c r="C58" s="78" t="s">
        <v>449</v>
      </c>
      <c r="D58" s="79"/>
      <c r="E58" s="87"/>
      <c r="F58" s="80">
        <f t="shared" si="0"/>
        <v>0</v>
      </c>
      <c r="G58" s="80">
        <f t="shared" si="1"/>
        <v>0</v>
      </c>
      <c r="H58" s="81"/>
      <c r="I58" s="81"/>
      <c r="J58" s="82"/>
    </row>
    <row r="59" spans="1:10" hidden="1" outlineLevel="3" x14ac:dyDescent="0.35">
      <c r="A59" s="78">
        <v>5</v>
      </c>
      <c r="B59" s="78" t="s">
        <v>385</v>
      </c>
      <c r="C59" s="78" t="s">
        <v>450</v>
      </c>
      <c r="D59" s="79"/>
      <c r="E59" s="87"/>
      <c r="F59" s="80">
        <f t="shared" si="0"/>
        <v>0</v>
      </c>
      <c r="G59" s="80">
        <f t="shared" si="1"/>
        <v>0</v>
      </c>
      <c r="H59" s="81"/>
      <c r="I59" s="81"/>
      <c r="J59" s="82"/>
    </row>
    <row r="60" spans="1:10" hidden="1" outlineLevel="3" x14ac:dyDescent="0.35">
      <c r="A60" s="78">
        <v>5</v>
      </c>
      <c r="B60" s="78" t="s">
        <v>385</v>
      </c>
      <c r="C60" s="78" t="s">
        <v>451</v>
      </c>
      <c r="D60" s="79"/>
      <c r="E60" s="87"/>
      <c r="F60" s="80">
        <f t="shared" si="0"/>
        <v>0</v>
      </c>
      <c r="G60" s="80">
        <f t="shared" si="1"/>
        <v>0</v>
      </c>
      <c r="H60" s="81"/>
      <c r="I60" s="81"/>
      <c r="J60" s="82"/>
    </row>
    <row r="61" spans="1:10" hidden="1" outlineLevel="3" x14ac:dyDescent="0.35">
      <c r="A61" s="78">
        <v>5</v>
      </c>
      <c r="B61" s="78" t="s">
        <v>385</v>
      </c>
      <c r="C61" s="78" t="s">
        <v>452</v>
      </c>
      <c r="D61" s="79"/>
      <c r="E61" s="87"/>
      <c r="F61" s="80">
        <f t="shared" si="0"/>
        <v>0</v>
      </c>
      <c r="G61" s="80">
        <f t="shared" si="1"/>
        <v>0</v>
      </c>
      <c r="H61" s="81"/>
      <c r="I61" s="81"/>
      <c r="J61" s="82"/>
    </row>
    <row r="62" spans="1:10" outlineLevel="1" collapsed="1" x14ac:dyDescent="0.35">
      <c r="A62" s="67">
        <v>3</v>
      </c>
      <c r="B62" s="67" t="s">
        <v>298</v>
      </c>
      <c r="C62" s="67" t="s">
        <v>453</v>
      </c>
      <c r="D62" s="73" t="s">
        <v>454</v>
      </c>
      <c r="E62" s="85" t="str">
        <f>IFERROR(AVERAGE(E63,E72,E81,E90,E99,E108),"")</f>
        <v/>
      </c>
      <c r="F62" s="67">
        <f t="shared" si="0"/>
        <v>0</v>
      </c>
      <c r="G62" s="67">
        <f t="shared" si="1"/>
        <v>0</v>
      </c>
      <c r="H62" s="72">
        <f>MIN(H63,H72,H81,H90,H99,H108)</f>
        <v>0</v>
      </c>
      <c r="I62" s="72">
        <f>MAX(I63,I72,I81,I90,I99,I108)</f>
        <v>0</v>
      </c>
      <c r="J62" s="71"/>
    </row>
    <row r="63" spans="1:10" hidden="1" outlineLevel="2" collapsed="1" x14ac:dyDescent="0.35">
      <c r="A63" s="74">
        <v>4</v>
      </c>
      <c r="B63" s="74" t="s">
        <v>392</v>
      </c>
      <c r="C63" s="74" t="s">
        <v>455</v>
      </c>
      <c r="D63" s="75" t="s">
        <v>394</v>
      </c>
      <c r="E63" s="86" t="str">
        <f>IFERROR(SUBTOTAL(1,E64:E71),"")</f>
        <v/>
      </c>
      <c r="F63" s="74">
        <f t="shared" si="0"/>
        <v>0</v>
      </c>
      <c r="G63" s="74">
        <f t="shared" si="1"/>
        <v>0</v>
      </c>
      <c r="H63" s="76">
        <f>MIN(H64:H71)</f>
        <v>0</v>
      </c>
      <c r="I63" s="76">
        <f>MAX(I64:I71)</f>
        <v>0</v>
      </c>
      <c r="J63" s="77"/>
    </row>
    <row r="64" spans="1:10" hidden="1" outlineLevel="3" x14ac:dyDescent="0.35">
      <c r="A64" s="78">
        <v>5</v>
      </c>
      <c r="B64" s="78" t="s">
        <v>385</v>
      </c>
      <c r="C64" s="78" t="s">
        <v>456</v>
      </c>
      <c r="D64" s="79" t="s">
        <v>328</v>
      </c>
      <c r="E64" s="87"/>
      <c r="F64" s="80">
        <f t="shared" si="0"/>
        <v>0</v>
      </c>
      <c r="G64" s="80">
        <f t="shared" si="1"/>
        <v>0</v>
      </c>
      <c r="H64" s="81"/>
      <c r="I64" s="81"/>
      <c r="J64" s="82"/>
    </row>
    <row r="65" spans="1:10" hidden="1" outlineLevel="3" x14ac:dyDescent="0.35">
      <c r="A65" s="78">
        <v>5</v>
      </c>
      <c r="B65" s="78" t="s">
        <v>385</v>
      </c>
      <c r="C65" s="78" t="s">
        <v>457</v>
      </c>
      <c r="D65" s="79" t="s">
        <v>332</v>
      </c>
      <c r="E65" s="87"/>
      <c r="F65" s="80">
        <f t="shared" si="0"/>
        <v>0</v>
      </c>
      <c r="G65" s="80">
        <f t="shared" si="1"/>
        <v>0</v>
      </c>
      <c r="H65" s="81"/>
      <c r="I65" s="81"/>
      <c r="J65" s="82"/>
    </row>
    <row r="66" spans="1:10" hidden="1" outlineLevel="3" x14ac:dyDescent="0.35">
      <c r="A66" s="78">
        <v>5</v>
      </c>
      <c r="B66" s="78" t="s">
        <v>385</v>
      </c>
      <c r="C66" s="78" t="s">
        <v>458</v>
      </c>
      <c r="D66" s="79" t="s">
        <v>334</v>
      </c>
      <c r="E66" s="87"/>
      <c r="F66" s="80">
        <f t="shared" si="0"/>
        <v>0</v>
      </c>
      <c r="G66" s="80">
        <f t="shared" si="1"/>
        <v>0</v>
      </c>
      <c r="H66" s="81"/>
      <c r="I66" s="81"/>
      <c r="J66" s="82"/>
    </row>
    <row r="67" spans="1:10" hidden="1" outlineLevel="3" x14ac:dyDescent="0.35">
      <c r="A67" s="78">
        <v>5</v>
      </c>
      <c r="B67" s="78" t="s">
        <v>385</v>
      </c>
      <c r="C67" s="78" t="s">
        <v>459</v>
      </c>
      <c r="D67" s="79" t="s">
        <v>337</v>
      </c>
      <c r="E67" s="87"/>
      <c r="F67" s="80">
        <f t="shared" si="0"/>
        <v>0</v>
      </c>
      <c r="G67" s="80">
        <f t="shared" si="1"/>
        <v>0</v>
      </c>
      <c r="H67" s="81"/>
      <c r="I67" s="81"/>
      <c r="J67" s="82"/>
    </row>
    <row r="68" spans="1:10" hidden="1" outlineLevel="3" x14ac:dyDescent="0.35">
      <c r="A68" s="78">
        <v>5</v>
      </c>
      <c r="B68" s="78" t="s">
        <v>385</v>
      </c>
      <c r="C68" s="78" t="s">
        <v>460</v>
      </c>
      <c r="D68" s="79"/>
      <c r="E68" s="87"/>
      <c r="F68" s="80">
        <f t="shared" si="0"/>
        <v>0</v>
      </c>
      <c r="G68" s="80">
        <f t="shared" si="1"/>
        <v>0</v>
      </c>
      <c r="H68" s="81"/>
      <c r="I68" s="81"/>
      <c r="J68" s="82"/>
    </row>
    <row r="69" spans="1:10" hidden="1" outlineLevel="3" x14ac:dyDescent="0.35">
      <c r="A69" s="78">
        <v>5</v>
      </c>
      <c r="B69" s="78" t="s">
        <v>385</v>
      </c>
      <c r="C69" s="78" t="s">
        <v>461</v>
      </c>
      <c r="D69" s="79"/>
      <c r="E69" s="87"/>
      <c r="F69" s="80">
        <f t="shared" si="0"/>
        <v>0</v>
      </c>
      <c r="G69" s="80">
        <f t="shared" si="1"/>
        <v>0</v>
      </c>
      <c r="H69" s="81"/>
      <c r="I69" s="81"/>
      <c r="J69" s="82"/>
    </row>
    <row r="70" spans="1:10" hidden="1" outlineLevel="3" x14ac:dyDescent="0.35">
      <c r="A70" s="78">
        <v>5</v>
      </c>
      <c r="B70" s="78" t="s">
        <v>385</v>
      </c>
      <c r="C70" s="78" t="s">
        <v>462</v>
      </c>
      <c r="D70" s="79"/>
      <c r="E70" s="87"/>
      <c r="F70" s="80">
        <f t="shared" ref="F70:F133" si="2">IFERROR(DATEDIF(H70,I70,"D"),0)</f>
        <v>0</v>
      </c>
      <c r="G70" s="80">
        <f t="shared" ref="G70:G133" si="3">IFERROR(NETWORKDAYS.INTL(H70,I70),0)</f>
        <v>0</v>
      </c>
      <c r="H70" s="81"/>
      <c r="I70" s="81"/>
      <c r="J70" s="82"/>
    </row>
    <row r="71" spans="1:10" hidden="1" outlineLevel="3" x14ac:dyDescent="0.35">
      <c r="A71" s="78">
        <v>5</v>
      </c>
      <c r="B71" s="78" t="s">
        <v>385</v>
      </c>
      <c r="C71" s="78" t="s">
        <v>463</v>
      </c>
      <c r="D71" s="79"/>
      <c r="E71" s="87"/>
      <c r="F71" s="80">
        <f t="shared" si="2"/>
        <v>0</v>
      </c>
      <c r="G71" s="80">
        <f t="shared" si="3"/>
        <v>0</v>
      </c>
      <c r="H71" s="81"/>
      <c r="I71" s="81"/>
      <c r="J71" s="82"/>
    </row>
    <row r="72" spans="1:10" hidden="1" outlineLevel="2" collapsed="1" x14ac:dyDescent="0.35">
      <c r="A72" s="74">
        <v>4</v>
      </c>
      <c r="B72" s="74" t="s">
        <v>392</v>
      </c>
      <c r="C72" s="74" t="s">
        <v>464</v>
      </c>
      <c r="D72" s="75" t="s">
        <v>404</v>
      </c>
      <c r="E72" s="86" t="str">
        <f>IFERROR(SUBTOTAL(1,E73:E80),"")</f>
        <v/>
      </c>
      <c r="F72" s="74">
        <f t="shared" si="2"/>
        <v>0</v>
      </c>
      <c r="G72" s="74">
        <f t="shared" si="3"/>
        <v>0</v>
      </c>
      <c r="H72" s="76">
        <f>MIN(H73:H80)</f>
        <v>0</v>
      </c>
      <c r="I72" s="76">
        <f>MAX(I73:I80)</f>
        <v>0</v>
      </c>
      <c r="J72" s="77"/>
    </row>
    <row r="73" spans="1:10" hidden="1" outlineLevel="3" x14ac:dyDescent="0.35">
      <c r="A73" s="78">
        <v>5</v>
      </c>
      <c r="B73" s="78" t="s">
        <v>385</v>
      </c>
      <c r="C73" s="78" t="s">
        <v>465</v>
      </c>
      <c r="D73" s="79" t="s">
        <v>330</v>
      </c>
      <c r="E73" s="87"/>
      <c r="F73" s="80">
        <f t="shared" si="2"/>
        <v>0</v>
      </c>
      <c r="G73" s="80">
        <f t="shared" si="3"/>
        <v>0</v>
      </c>
      <c r="H73" s="81"/>
      <c r="I73" s="81"/>
      <c r="J73" s="82"/>
    </row>
    <row r="74" spans="1:10" hidden="1" outlineLevel="3" x14ac:dyDescent="0.35">
      <c r="A74" s="78">
        <v>5</v>
      </c>
      <c r="B74" s="78" t="s">
        <v>385</v>
      </c>
      <c r="C74" s="78" t="s">
        <v>466</v>
      </c>
      <c r="D74" s="79" t="s">
        <v>333</v>
      </c>
      <c r="E74" s="87"/>
      <c r="F74" s="80">
        <f t="shared" si="2"/>
        <v>0</v>
      </c>
      <c r="G74" s="80">
        <f t="shared" si="3"/>
        <v>0</v>
      </c>
      <c r="H74" s="81"/>
      <c r="I74" s="81"/>
      <c r="J74" s="82"/>
    </row>
    <row r="75" spans="1:10" hidden="1" outlineLevel="3" x14ac:dyDescent="0.35">
      <c r="A75" s="78">
        <v>5</v>
      </c>
      <c r="B75" s="78" t="s">
        <v>385</v>
      </c>
      <c r="C75" s="78" t="s">
        <v>467</v>
      </c>
      <c r="D75" s="79" t="s">
        <v>336</v>
      </c>
      <c r="E75" s="87"/>
      <c r="F75" s="80">
        <f t="shared" si="2"/>
        <v>0</v>
      </c>
      <c r="G75" s="80">
        <f t="shared" si="3"/>
        <v>0</v>
      </c>
      <c r="H75" s="81"/>
      <c r="I75" s="81"/>
      <c r="J75" s="82"/>
    </row>
    <row r="76" spans="1:10" hidden="1" outlineLevel="3" x14ac:dyDescent="0.35">
      <c r="A76" s="78">
        <v>5</v>
      </c>
      <c r="B76" s="78" t="s">
        <v>385</v>
      </c>
      <c r="C76" s="78" t="s">
        <v>468</v>
      </c>
      <c r="D76" s="79"/>
      <c r="E76" s="87"/>
      <c r="F76" s="80">
        <f t="shared" si="2"/>
        <v>0</v>
      </c>
      <c r="G76" s="80">
        <f t="shared" si="3"/>
        <v>0</v>
      </c>
      <c r="H76" s="81"/>
      <c r="I76" s="81"/>
      <c r="J76" s="82"/>
    </row>
    <row r="77" spans="1:10" hidden="1" outlineLevel="3" x14ac:dyDescent="0.35">
      <c r="A77" s="78">
        <v>5</v>
      </c>
      <c r="B77" s="78" t="s">
        <v>385</v>
      </c>
      <c r="C77" s="78" t="s">
        <v>469</v>
      </c>
      <c r="D77" s="79"/>
      <c r="E77" s="87"/>
      <c r="F77" s="80">
        <f t="shared" si="2"/>
        <v>0</v>
      </c>
      <c r="G77" s="80">
        <f t="shared" si="3"/>
        <v>0</v>
      </c>
      <c r="H77" s="81"/>
      <c r="I77" s="81"/>
      <c r="J77" s="82"/>
    </row>
    <row r="78" spans="1:10" hidden="1" outlineLevel="3" x14ac:dyDescent="0.35">
      <c r="A78" s="78">
        <v>5</v>
      </c>
      <c r="B78" s="78" t="s">
        <v>385</v>
      </c>
      <c r="C78" s="78" t="s">
        <v>470</v>
      </c>
      <c r="D78" s="79"/>
      <c r="E78" s="87"/>
      <c r="F78" s="80">
        <f t="shared" si="2"/>
        <v>0</v>
      </c>
      <c r="G78" s="80">
        <f t="shared" si="3"/>
        <v>0</v>
      </c>
      <c r="H78" s="81"/>
      <c r="I78" s="81"/>
      <c r="J78" s="82"/>
    </row>
    <row r="79" spans="1:10" hidden="1" outlineLevel="3" x14ac:dyDescent="0.35">
      <c r="A79" s="78">
        <v>5</v>
      </c>
      <c r="B79" s="78" t="s">
        <v>385</v>
      </c>
      <c r="C79" s="78" t="s">
        <v>471</v>
      </c>
      <c r="D79" s="79"/>
      <c r="E79" s="87"/>
      <c r="F79" s="80">
        <f t="shared" si="2"/>
        <v>0</v>
      </c>
      <c r="G79" s="80">
        <f t="shared" si="3"/>
        <v>0</v>
      </c>
      <c r="H79" s="81"/>
      <c r="I79" s="81"/>
      <c r="J79" s="82"/>
    </row>
    <row r="80" spans="1:10" hidden="1" outlineLevel="3" x14ac:dyDescent="0.35">
      <c r="A80" s="78">
        <v>5</v>
      </c>
      <c r="B80" s="78" t="s">
        <v>385</v>
      </c>
      <c r="C80" s="78" t="s">
        <v>472</v>
      </c>
      <c r="D80" s="79"/>
      <c r="E80" s="87"/>
      <c r="F80" s="80">
        <f t="shared" si="2"/>
        <v>0</v>
      </c>
      <c r="G80" s="80">
        <f t="shared" si="3"/>
        <v>0</v>
      </c>
      <c r="H80" s="81"/>
      <c r="I80" s="81"/>
      <c r="J80" s="82"/>
    </row>
    <row r="81" spans="1:10" hidden="1" outlineLevel="2" collapsed="1" x14ac:dyDescent="0.35">
      <c r="A81" s="74">
        <v>4</v>
      </c>
      <c r="B81" s="74" t="s">
        <v>392</v>
      </c>
      <c r="C81" s="74" t="s">
        <v>473</v>
      </c>
      <c r="D81" s="75" t="s">
        <v>414</v>
      </c>
      <c r="E81" s="86" t="str">
        <f>IFERROR(SUBTOTAL(1,E82:E89),"")</f>
        <v/>
      </c>
      <c r="F81" s="74">
        <f t="shared" si="2"/>
        <v>0</v>
      </c>
      <c r="G81" s="74">
        <f t="shared" si="3"/>
        <v>0</v>
      </c>
      <c r="H81" s="76">
        <f>MIN(H82:H89)</f>
        <v>0</v>
      </c>
      <c r="I81" s="76">
        <f>MAX(I82:I89)</f>
        <v>0</v>
      </c>
      <c r="J81" s="77"/>
    </row>
    <row r="82" spans="1:10" hidden="1" outlineLevel="3" x14ac:dyDescent="0.35">
      <c r="A82" s="78">
        <v>5</v>
      </c>
      <c r="B82" s="78" t="s">
        <v>385</v>
      </c>
      <c r="C82" s="78" t="s">
        <v>474</v>
      </c>
      <c r="D82" s="79" t="s">
        <v>335</v>
      </c>
      <c r="E82" s="87"/>
      <c r="F82" s="80">
        <f t="shared" si="2"/>
        <v>0</v>
      </c>
      <c r="G82" s="80">
        <f t="shared" si="3"/>
        <v>0</v>
      </c>
      <c r="H82" s="81"/>
      <c r="I82" s="81"/>
      <c r="J82" s="82"/>
    </row>
    <row r="83" spans="1:10" hidden="1" outlineLevel="3" x14ac:dyDescent="0.35">
      <c r="A83" s="78">
        <v>5</v>
      </c>
      <c r="B83" s="78" t="s">
        <v>385</v>
      </c>
      <c r="C83" s="78" t="s">
        <v>475</v>
      </c>
      <c r="D83" s="79"/>
      <c r="E83" s="87"/>
      <c r="F83" s="80">
        <f t="shared" si="2"/>
        <v>0</v>
      </c>
      <c r="G83" s="80">
        <f t="shared" si="3"/>
        <v>0</v>
      </c>
      <c r="H83" s="81"/>
      <c r="I83" s="81"/>
      <c r="J83" s="82"/>
    </row>
    <row r="84" spans="1:10" hidden="1" outlineLevel="3" x14ac:dyDescent="0.35">
      <c r="A84" s="78">
        <v>5</v>
      </c>
      <c r="B84" s="78" t="s">
        <v>385</v>
      </c>
      <c r="C84" s="78" t="s">
        <v>476</v>
      </c>
      <c r="D84" s="79"/>
      <c r="E84" s="87"/>
      <c r="F84" s="80">
        <f t="shared" si="2"/>
        <v>0</v>
      </c>
      <c r="G84" s="80">
        <f t="shared" si="3"/>
        <v>0</v>
      </c>
      <c r="H84" s="81"/>
      <c r="I84" s="81"/>
      <c r="J84" s="82"/>
    </row>
    <row r="85" spans="1:10" hidden="1" outlineLevel="3" x14ac:dyDescent="0.35">
      <c r="A85" s="78">
        <v>5</v>
      </c>
      <c r="B85" s="78" t="s">
        <v>385</v>
      </c>
      <c r="C85" s="78" t="s">
        <v>477</v>
      </c>
      <c r="D85" s="79"/>
      <c r="E85" s="87"/>
      <c r="F85" s="80">
        <f t="shared" si="2"/>
        <v>0</v>
      </c>
      <c r="G85" s="80">
        <f t="shared" si="3"/>
        <v>0</v>
      </c>
      <c r="H85" s="81"/>
      <c r="I85" s="81"/>
      <c r="J85" s="82"/>
    </row>
    <row r="86" spans="1:10" hidden="1" outlineLevel="3" x14ac:dyDescent="0.35">
      <c r="A86" s="78">
        <v>5</v>
      </c>
      <c r="B86" s="78" t="s">
        <v>385</v>
      </c>
      <c r="C86" s="78" t="s">
        <v>478</v>
      </c>
      <c r="D86" s="79"/>
      <c r="E86" s="87"/>
      <c r="F86" s="80">
        <f t="shared" si="2"/>
        <v>0</v>
      </c>
      <c r="G86" s="80">
        <f t="shared" si="3"/>
        <v>0</v>
      </c>
      <c r="H86" s="81"/>
      <c r="I86" s="81"/>
      <c r="J86" s="82"/>
    </row>
    <row r="87" spans="1:10" hidden="1" outlineLevel="3" x14ac:dyDescent="0.35">
      <c r="A87" s="78">
        <v>5</v>
      </c>
      <c r="B87" s="78" t="s">
        <v>385</v>
      </c>
      <c r="C87" s="78" t="s">
        <v>479</v>
      </c>
      <c r="D87" s="79"/>
      <c r="E87" s="87"/>
      <c r="F87" s="80">
        <f t="shared" si="2"/>
        <v>0</v>
      </c>
      <c r="G87" s="80">
        <f t="shared" si="3"/>
        <v>0</v>
      </c>
      <c r="H87" s="81"/>
      <c r="I87" s="81"/>
      <c r="J87" s="82"/>
    </row>
    <row r="88" spans="1:10" hidden="1" outlineLevel="3" x14ac:dyDescent="0.35">
      <c r="A88" s="78">
        <v>5</v>
      </c>
      <c r="B88" s="78" t="s">
        <v>385</v>
      </c>
      <c r="C88" s="78" t="s">
        <v>480</v>
      </c>
      <c r="D88" s="79"/>
      <c r="E88" s="87"/>
      <c r="F88" s="80">
        <f t="shared" si="2"/>
        <v>0</v>
      </c>
      <c r="G88" s="80">
        <f t="shared" si="3"/>
        <v>0</v>
      </c>
      <c r="H88" s="81"/>
      <c r="I88" s="81"/>
      <c r="J88" s="82"/>
    </row>
    <row r="89" spans="1:10" hidden="1" outlineLevel="3" x14ac:dyDescent="0.35">
      <c r="A89" s="78">
        <v>5</v>
      </c>
      <c r="B89" s="78" t="s">
        <v>385</v>
      </c>
      <c r="C89" s="78" t="s">
        <v>481</v>
      </c>
      <c r="D89" s="79"/>
      <c r="E89" s="87"/>
      <c r="F89" s="80">
        <f t="shared" si="2"/>
        <v>0</v>
      </c>
      <c r="G89" s="80">
        <f t="shared" si="3"/>
        <v>0</v>
      </c>
      <c r="H89" s="81"/>
      <c r="I89" s="81"/>
      <c r="J89" s="82"/>
    </row>
    <row r="90" spans="1:10" hidden="1" outlineLevel="2" collapsed="1" x14ac:dyDescent="0.35">
      <c r="A90" s="74">
        <v>4</v>
      </c>
      <c r="B90" s="74" t="s">
        <v>392</v>
      </c>
      <c r="C90" s="74" t="s">
        <v>482</v>
      </c>
      <c r="D90" s="75" t="s">
        <v>424</v>
      </c>
      <c r="E90" s="86" t="str">
        <f>IFERROR(SUBTOTAL(1,E91:E98),"")</f>
        <v/>
      </c>
      <c r="F90" s="74">
        <f t="shared" si="2"/>
        <v>0</v>
      </c>
      <c r="G90" s="74">
        <f t="shared" si="3"/>
        <v>0</v>
      </c>
      <c r="H90" s="76">
        <f>MIN(H91:H98)</f>
        <v>0</v>
      </c>
      <c r="I90" s="76">
        <f>MAX(I91:I98)</f>
        <v>0</v>
      </c>
      <c r="J90" s="77"/>
    </row>
    <row r="91" spans="1:10" hidden="1" outlineLevel="3" x14ac:dyDescent="0.35">
      <c r="A91" s="78">
        <v>5</v>
      </c>
      <c r="B91" s="78" t="s">
        <v>385</v>
      </c>
      <c r="C91" s="78" t="s">
        <v>483</v>
      </c>
      <c r="D91" s="79"/>
      <c r="E91" s="87"/>
      <c r="F91" s="80">
        <f t="shared" si="2"/>
        <v>0</v>
      </c>
      <c r="G91" s="80">
        <f t="shared" si="3"/>
        <v>0</v>
      </c>
      <c r="H91" s="81"/>
      <c r="I91" s="81"/>
      <c r="J91" s="82"/>
    </row>
    <row r="92" spans="1:10" hidden="1" outlineLevel="3" x14ac:dyDescent="0.35">
      <c r="A92" s="78">
        <v>5</v>
      </c>
      <c r="B92" s="78" t="s">
        <v>385</v>
      </c>
      <c r="C92" s="78" t="s">
        <v>484</v>
      </c>
      <c r="D92" s="79"/>
      <c r="E92" s="87"/>
      <c r="F92" s="80">
        <f t="shared" si="2"/>
        <v>0</v>
      </c>
      <c r="G92" s="80">
        <f t="shared" si="3"/>
        <v>0</v>
      </c>
      <c r="H92" s="81"/>
      <c r="I92" s="81"/>
      <c r="J92" s="82"/>
    </row>
    <row r="93" spans="1:10" hidden="1" outlineLevel="3" x14ac:dyDescent="0.35">
      <c r="A93" s="78">
        <v>5</v>
      </c>
      <c r="B93" s="78" t="s">
        <v>385</v>
      </c>
      <c r="C93" s="78" t="s">
        <v>485</v>
      </c>
      <c r="D93" s="79"/>
      <c r="E93" s="87"/>
      <c r="F93" s="80">
        <f t="shared" si="2"/>
        <v>0</v>
      </c>
      <c r="G93" s="80">
        <f t="shared" si="3"/>
        <v>0</v>
      </c>
      <c r="H93" s="81"/>
      <c r="I93" s="81"/>
      <c r="J93" s="82"/>
    </row>
    <row r="94" spans="1:10" hidden="1" outlineLevel="3" x14ac:dyDescent="0.35">
      <c r="A94" s="78">
        <v>5</v>
      </c>
      <c r="B94" s="78" t="s">
        <v>385</v>
      </c>
      <c r="C94" s="78" t="s">
        <v>486</v>
      </c>
      <c r="D94" s="79"/>
      <c r="E94" s="87"/>
      <c r="F94" s="80">
        <f t="shared" si="2"/>
        <v>0</v>
      </c>
      <c r="G94" s="80">
        <f t="shared" si="3"/>
        <v>0</v>
      </c>
      <c r="H94" s="81"/>
      <c r="I94" s="81"/>
      <c r="J94" s="82"/>
    </row>
    <row r="95" spans="1:10" hidden="1" outlineLevel="3" x14ac:dyDescent="0.35">
      <c r="A95" s="78">
        <v>5</v>
      </c>
      <c r="B95" s="78" t="s">
        <v>385</v>
      </c>
      <c r="C95" s="78" t="s">
        <v>487</v>
      </c>
      <c r="D95" s="79"/>
      <c r="E95" s="87"/>
      <c r="F95" s="80">
        <f t="shared" si="2"/>
        <v>0</v>
      </c>
      <c r="G95" s="80">
        <f t="shared" si="3"/>
        <v>0</v>
      </c>
      <c r="H95" s="81"/>
      <c r="I95" s="81"/>
      <c r="J95" s="82"/>
    </row>
    <row r="96" spans="1:10" hidden="1" outlineLevel="3" x14ac:dyDescent="0.35">
      <c r="A96" s="78">
        <v>5</v>
      </c>
      <c r="B96" s="78" t="s">
        <v>385</v>
      </c>
      <c r="C96" s="78" t="s">
        <v>488</v>
      </c>
      <c r="D96" s="79"/>
      <c r="E96" s="87"/>
      <c r="F96" s="80">
        <f t="shared" si="2"/>
        <v>0</v>
      </c>
      <c r="G96" s="80">
        <f t="shared" si="3"/>
        <v>0</v>
      </c>
      <c r="H96" s="81"/>
      <c r="I96" s="81"/>
      <c r="J96" s="82"/>
    </row>
    <row r="97" spans="1:10" hidden="1" outlineLevel="3" x14ac:dyDescent="0.35">
      <c r="A97" s="78">
        <v>5</v>
      </c>
      <c r="B97" s="78" t="s">
        <v>385</v>
      </c>
      <c r="C97" s="78" t="s">
        <v>489</v>
      </c>
      <c r="D97" s="79"/>
      <c r="E97" s="87"/>
      <c r="F97" s="80">
        <f t="shared" si="2"/>
        <v>0</v>
      </c>
      <c r="G97" s="80">
        <f t="shared" si="3"/>
        <v>0</v>
      </c>
      <c r="H97" s="81"/>
      <c r="I97" s="81"/>
      <c r="J97" s="82"/>
    </row>
    <row r="98" spans="1:10" hidden="1" outlineLevel="3" x14ac:dyDescent="0.35">
      <c r="A98" s="78">
        <v>5</v>
      </c>
      <c r="B98" s="78" t="s">
        <v>385</v>
      </c>
      <c r="C98" s="78" t="s">
        <v>490</v>
      </c>
      <c r="D98" s="79"/>
      <c r="E98" s="87"/>
      <c r="F98" s="80">
        <f t="shared" si="2"/>
        <v>0</v>
      </c>
      <c r="G98" s="80">
        <f t="shared" si="3"/>
        <v>0</v>
      </c>
      <c r="H98" s="81"/>
      <c r="I98" s="81"/>
      <c r="J98" s="82"/>
    </row>
    <row r="99" spans="1:10" hidden="1" outlineLevel="2" collapsed="1" x14ac:dyDescent="0.35">
      <c r="A99" s="74">
        <v>4</v>
      </c>
      <c r="B99" s="74" t="s">
        <v>392</v>
      </c>
      <c r="C99" s="74" t="s">
        <v>491</v>
      </c>
      <c r="D99" s="75" t="s">
        <v>434</v>
      </c>
      <c r="E99" s="86" t="str">
        <f>IFERROR(SUBTOTAL(1,E100:E107),"")</f>
        <v/>
      </c>
      <c r="F99" s="74">
        <f t="shared" si="2"/>
        <v>0</v>
      </c>
      <c r="G99" s="74">
        <f t="shared" si="3"/>
        <v>0</v>
      </c>
      <c r="H99" s="76">
        <f>MIN(H100:H107)</f>
        <v>0</v>
      </c>
      <c r="I99" s="76">
        <f>MAX(I100:I107)</f>
        <v>0</v>
      </c>
      <c r="J99" s="77"/>
    </row>
    <row r="100" spans="1:10" hidden="1" outlineLevel="3" x14ac:dyDescent="0.35">
      <c r="A100" s="78">
        <v>5</v>
      </c>
      <c r="B100" s="78" t="s">
        <v>385</v>
      </c>
      <c r="C100" s="78" t="s">
        <v>492</v>
      </c>
      <c r="D100" s="79" t="s">
        <v>329</v>
      </c>
      <c r="E100" s="87"/>
      <c r="F100" s="80">
        <f t="shared" si="2"/>
        <v>0</v>
      </c>
      <c r="G100" s="80">
        <f t="shared" si="3"/>
        <v>0</v>
      </c>
      <c r="H100" s="81"/>
      <c r="I100" s="81"/>
      <c r="J100" s="82"/>
    </row>
    <row r="101" spans="1:10" hidden="1" outlineLevel="3" x14ac:dyDescent="0.35">
      <c r="A101" s="78">
        <v>5</v>
      </c>
      <c r="B101" s="78" t="s">
        <v>385</v>
      </c>
      <c r="C101" s="78" t="s">
        <v>493</v>
      </c>
      <c r="D101" s="79" t="s">
        <v>331</v>
      </c>
      <c r="E101" s="87"/>
      <c r="F101" s="80">
        <f t="shared" si="2"/>
        <v>0</v>
      </c>
      <c r="G101" s="80">
        <f t="shared" si="3"/>
        <v>0</v>
      </c>
      <c r="H101" s="81"/>
      <c r="I101" s="81"/>
      <c r="J101" s="82"/>
    </row>
    <row r="102" spans="1:10" hidden="1" outlineLevel="3" x14ac:dyDescent="0.35">
      <c r="A102" s="78">
        <v>5</v>
      </c>
      <c r="B102" s="78" t="s">
        <v>385</v>
      </c>
      <c r="C102" s="78" t="s">
        <v>494</v>
      </c>
      <c r="D102" s="79"/>
      <c r="E102" s="87"/>
      <c r="F102" s="80">
        <f t="shared" si="2"/>
        <v>0</v>
      </c>
      <c r="G102" s="80">
        <f t="shared" si="3"/>
        <v>0</v>
      </c>
      <c r="H102" s="81"/>
      <c r="I102" s="81"/>
      <c r="J102" s="82"/>
    </row>
    <row r="103" spans="1:10" hidden="1" outlineLevel="3" x14ac:dyDescent="0.35">
      <c r="A103" s="78">
        <v>5</v>
      </c>
      <c r="B103" s="78" t="s">
        <v>385</v>
      </c>
      <c r="C103" s="78" t="s">
        <v>495</v>
      </c>
      <c r="D103" s="79"/>
      <c r="E103" s="87"/>
      <c r="F103" s="80">
        <f t="shared" si="2"/>
        <v>0</v>
      </c>
      <c r="G103" s="80">
        <f t="shared" si="3"/>
        <v>0</v>
      </c>
      <c r="H103" s="81"/>
      <c r="I103" s="81"/>
      <c r="J103" s="82"/>
    </row>
    <row r="104" spans="1:10" hidden="1" outlineLevel="3" x14ac:dyDescent="0.35">
      <c r="A104" s="78">
        <v>5</v>
      </c>
      <c r="B104" s="78" t="s">
        <v>385</v>
      </c>
      <c r="C104" s="78" t="s">
        <v>496</v>
      </c>
      <c r="D104" s="79"/>
      <c r="E104" s="87"/>
      <c r="F104" s="80">
        <f t="shared" si="2"/>
        <v>0</v>
      </c>
      <c r="G104" s="80">
        <f t="shared" si="3"/>
        <v>0</v>
      </c>
      <c r="H104" s="81"/>
      <c r="I104" s="81"/>
      <c r="J104" s="82"/>
    </row>
    <row r="105" spans="1:10" hidden="1" outlineLevel="3" x14ac:dyDescent="0.35">
      <c r="A105" s="78">
        <v>5</v>
      </c>
      <c r="B105" s="78" t="s">
        <v>385</v>
      </c>
      <c r="C105" s="78" t="s">
        <v>497</v>
      </c>
      <c r="D105" s="79"/>
      <c r="E105" s="87"/>
      <c r="F105" s="80">
        <f t="shared" si="2"/>
        <v>0</v>
      </c>
      <c r="G105" s="80">
        <f t="shared" si="3"/>
        <v>0</v>
      </c>
      <c r="H105" s="81"/>
      <c r="I105" s="81"/>
      <c r="J105" s="82"/>
    </row>
    <row r="106" spans="1:10" hidden="1" outlineLevel="3" x14ac:dyDescent="0.35">
      <c r="A106" s="78">
        <v>5</v>
      </c>
      <c r="B106" s="78" t="s">
        <v>385</v>
      </c>
      <c r="C106" s="78" t="s">
        <v>498</v>
      </c>
      <c r="D106" s="79"/>
      <c r="E106" s="87"/>
      <c r="F106" s="80">
        <f t="shared" si="2"/>
        <v>0</v>
      </c>
      <c r="G106" s="80">
        <f t="shared" si="3"/>
        <v>0</v>
      </c>
      <c r="H106" s="81"/>
      <c r="I106" s="81"/>
      <c r="J106" s="82"/>
    </row>
    <row r="107" spans="1:10" hidden="1" outlineLevel="3" x14ac:dyDescent="0.35">
      <c r="A107" s="78">
        <v>5</v>
      </c>
      <c r="B107" s="78" t="s">
        <v>385</v>
      </c>
      <c r="C107" s="78" t="s">
        <v>499</v>
      </c>
      <c r="D107" s="79"/>
      <c r="E107" s="87"/>
      <c r="F107" s="80">
        <f t="shared" si="2"/>
        <v>0</v>
      </c>
      <c r="G107" s="80">
        <f t="shared" si="3"/>
        <v>0</v>
      </c>
      <c r="H107" s="81"/>
      <c r="I107" s="81"/>
      <c r="J107" s="82"/>
    </row>
    <row r="108" spans="1:10" hidden="1" outlineLevel="2" collapsed="1" x14ac:dyDescent="0.35">
      <c r="A108" s="74">
        <v>4</v>
      </c>
      <c r="B108" s="74" t="s">
        <v>392</v>
      </c>
      <c r="C108" s="74" t="s">
        <v>500</v>
      </c>
      <c r="D108" s="75" t="s">
        <v>444</v>
      </c>
      <c r="E108" s="86" t="str">
        <f>IFERROR(SUBTOTAL(1,E109:E116),"")</f>
        <v/>
      </c>
      <c r="F108" s="74">
        <f t="shared" si="2"/>
        <v>0</v>
      </c>
      <c r="G108" s="74">
        <f t="shared" si="3"/>
        <v>0</v>
      </c>
      <c r="H108" s="76">
        <f>MIN(H109:H116)</f>
        <v>0</v>
      </c>
      <c r="I108" s="76">
        <f>MAX(I109:I116)</f>
        <v>0</v>
      </c>
      <c r="J108" s="77"/>
    </row>
    <row r="109" spans="1:10" hidden="1" outlineLevel="3" x14ac:dyDescent="0.35">
      <c r="A109" s="78">
        <v>5</v>
      </c>
      <c r="B109" s="78" t="s">
        <v>385</v>
      </c>
      <c r="C109" s="78" t="s">
        <v>1621</v>
      </c>
      <c r="D109" s="79"/>
      <c r="E109" s="87"/>
      <c r="F109" s="80">
        <f t="shared" si="2"/>
        <v>0</v>
      </c>
      <c r="G109" s="80">
        <f t="shared" si="3"/>
        <v>0</v>
      </c>
      <c r="H109" s="81"/>
      <c r="I109" s="81"/>
      <c r="J109" s="82"/>
    </row>
    <row r="110" spans="1:10" hidden="1" outlineLevel="3" x14ac:dyDescent="0.35">
      <c r="A110" s="78">
        <v>5</v>
      </c>
      <c r="B110" s="78" t="s">
        <v>385</v>
      </c>
      <c r="C110" s="78" t="s">
        <v>1622</v>
      </c>
      <c r="D110" s="79"/>
      <c r="E110" s="87"/>
      <c r="F110" s="80">
        <f t="shared" si="2"/>
        <v>0</v>
      </c>
      <c r="G110" s="80">
        <f t="shared" si="3"/>
        <v>0</v>
      </c>
      <c r="H110" s="81"/>
      <c r="I110" s="81"/>
      <c r="J110" s="82"/>
    </row>
    <row r="111" spans="1:10" hidden="1" outlineLevel="3" x14ac:dyDescent="0.35">
      <c r="A111" s="78">
        <v>5</v>
      </c>
      <c r="B111" s="78" t="s">
        <v>385</v>
      </c>
      <c r="C111" s="78" t="s">
        <v>1623</v>
      </c>
      <c r="D111" s="79"/>
      <c r="E111" s="87"/>
      <c r="F111" s="80">
        <f t="shared" si="2"/>
        <v>0</v>
      </c>
      <c r="G111" s="80">
        <f t="shared" si="3"/>
        <v>0</v>
      </c>
      <c r="H111" s="81"/>
      <c r="I111" s="81"/>
      <c r="J111" s="82"/>
    </row>
    <row r="112" spans="1:10" hidden="1" outlineLevel="3" x14ac:dyDescent="0.35">
      <c r="A112" s="78">
        <v>5</v>
      </c>
      <c r="B112" s="78" t="s">
        <v>385</v>
      </c>
      <c r="C112" s="78" t="s">
        <v>1624</v>
      </c>
      <c r="D112" s="79"/>
      <c r="E112" s="87"/>
      <c r="F112" s="80">
        <f t="shared" si="2"/>
        <v>0</v>
      </c>
      <c r="G112" s="80">
        <f t="shared" si="3"/>
        <v>0</v>
      </c>
      <c r="H112" s="81"/>
      <c r="I112" s="81"/>
      <c r="J112" s="82"/>
    </row>
    <row r="113" spans="1:10" hidden="1" outlineLevel="3" x14ac:dyDescent="0.35">
      <c r="A113" s="78">
        <v>5</v>
      </c>
      <c r="B113" s="78" t="s">
        <v>385</v>
      </c>
      <c r="C113" s="78" t="s">
        <v>1625</v>
      </c>
      <c r="D113" s="79"/>
      <c r="E113" s="87"/>
      <c r="F113" s="80">
        <f t="shared" si="2"/>
        <v>0</v>
      </c>
      <c r="G113" s="80">
        <f t="shared" si="3"/>
        <v>0</v>
      </c>
      <c r="H113" s="81"/>
      <c r="I113" s="81"/>
      <c r="J113" s="82"/>
    </row>
    <row r="114" spans="1:10" hidden="1" outlineLevel="3" x14ac:dyDescent="0.35">
      <c r="A114" s="78">
        <v>5</v>
      </c>
      <c r="B114" s="78" t="s">
        <v>385</v>
      </c>
      <c r="C114" s="78" t="s">
        <v>1626</v>
      </c>
      <c r="D114" s="79"/>
      <c r="E114" s="87"/>
      <c r="F114" s="80">
        <f t="shared" si="2"/>
        <v>0</v>
      </c>
      <c r="G114" s="80">
        <f t="shared" si="3"/>
        <v>0</v>
      </c>
      <c r="H114" s="81"/>
      <c r="I114" s="81"/>
      <c r="J114" s="82"/>
    </row>
    <row r="115" spans="1:10" hidden="1" outlineLevel="3" x14ac:dyDescent="0.35">
      <c r="A115" s="78">
        <v>5</v>
      </c>
      <c r="B115" s="78" t="s">
        <v>385</v>
      </c>
      <c r="C115" s="78" t="s">
        <v>1627</v>
      </c>
      <c r="D115" s="79"/>
      <c r="E115" s="87"/>
      <c r="F115" s="80">
        <f t="shared" si="2"/>
        <v>0</v>
      </c>
      <c r="G115" s="80">
        <f t="shared" si="3"/>
        <v>0</v>
      </c>
      <c r="H115" s="81"/>
      <c r="I115" s="81"/>
      <c r="J115" s="82"/>
    </row>
    <row r="116" spans="1:10" hidden="1" outlineLevel="3" x14ac:dyDescent="0.35">
      <c r="A116" s="78">
        <v>5</v>
      </c>
      <c r="B116" s="78" t="s">
        <v>385</v>
      </c>
      <c r="C116" s="78" t="s">
        <v>1628</v>
      </c>
      <c r="D116" s="79"/>
      <c r="E116" s="87"/>
      <c r="F116" s="80">
        <f t="shared" si="2"/>
        <v>0</v>
      </c>
      <c r="G116" s="80">
        <f t="shared" si="3"/>
        <v>0</v>
      </c>
      <c r="H116" s="81"/>
      <c r="I116" s="81"/>
      <c r="J116" s="82"/>
    </row>
    <row r="117" spans="1:10" outlineLevel="1" collapsed="1" x14ac:dyDescent="0.35">
      <c r="A117" s="67">
        <v>3</v>
      </c>
      <c r="B117" s="67" t="s">
        <v>298</v>
      </c>
      <c r="C117" s="67" t="s">
        <v>501</v>
      </c>
      <c r="D117" s="73" t="s">
        <v>502</v>
      </c>
      <c r="E117" s="85" t="str">
        <f>IFERROR(AVERAGE(E118,E127,E136,E145,E154,E163),"")</f>
        <v/>
      </c>
      <c r="F117" s="67">
        <f t="shared" si="2"/>
        <v>0</v>
      </c>
      <c r="G117" s="67">
        <f t="shared" si="3"/>
        <v>0</v>
      </c>
      <c r="H117" s="72">
        <f>MIN(H118,H127,H136,H145,H154,H163)</f>
        <v>0</v>
      </c>
      <c r="I117" s="72">
        <f>MAX(I118,I127,I136,I145,I154,I163)</f>
        <v>0</v>
      </c>
      <c r="J117" s="71"/>
    </row>
    <row r="118" spans="1:10" hidden="1" outlineLevel="2" collapsed="1" x14ac:dyDescent="0.35">
      <c r="A118" s="74">
        <v>4</v>
      </c>
      <c r="B118" s="74" t="s">
        <v>392</v>
      </c>
      <c r="C118" s="74" t="s">
        <v>503</v>
      </c>
      <c r="D118" s="75" t="s">
        <v>394</v>
      </c>
      <c r="E118" s="86" t="str">
        <f>IFERROR(SUBTOTAL(1,E119:E126),"")</f>
        <v/>
      </c>
      <c r="F118" s="74">
        <f t="shared" si="2"/>
        <v>0</v>
      </c>
      <c r="G118" s="74">
        <f t="shared" si="3"/>
        <v>0</v>
      </c>
      <c r="H118" s="76">
        <f>MIN(H119:H126)</f>
        <v>0</v>
      </c>
      <c r="I118" s="76">
        <f>MAX(I119:I126)</f>
        <v>0</v>
      </c>
      <c r="J118" s="77"/>
    </row>
    <row r="119" spans="1:10" hidden="1" outlineLevel="3" x14ac:dyDescent="0.35">
      <c r="A119" s="78">
        <v>5</v>
      </c>
      <c r="B119" s="78" t="s">
        <v>385</v>
      </c>
      <c r="C119" s="78" t="s">
        <v>504</v>
      </c>
      <c r="D119" s="79" t="s">
        <v>328</v>
      </c>
      <c r="E119" s="87"/>
      <c r="F119" s="80">
        <f t="shared" si="2"/>
        <v>0</v>
      </c>
      <c r="G119" s="80">
        <f t="shared" si="3"/>
        <v>0</v>
      </c>
      <c r="H119" s="81"/>
      <c r="I119" s="81"/>
      <c r="J119" s="82"/>
    </row>
    <row r="120" spans="1:10" hidden="1" outlineLevel="3" x14ac:dyDescent="0.35">
      <c r="A120" s="78">
        <v>5</v>
      </c>
      <c r="B120" s="78" t="s">
        <v>385</v>
      </c>
      <c r="C120" s="78" t="s">
        <v>505</v>
      </c>
      <c r="D120" s="79" t="s">
        <v>332</v>
      </c>
      <c r="E120" s="87"/>
      <c r="F120" s="80">
        <f t="shared" si="2"/>
        <v>0</v>
      </c>
      <c r="G120" s="80">
        <f t="shared" si="3"/>
        <v>0</v>
      </c>
      <c r="H120" s="81"/>
      <c r="I120" s="81"/>
      <c r="J120" s="82"/>
    </row>
    <row r="121" spans="1:10" hidden="1" outlineLevel="3" x14ac:dyDescent="0.35">
      <c r="A121" s="78">
        <v>5</v>
      </c>
      <c r="B121" s="78" t="s">
        <v>385</v>
      </c>
      <c r="C121" s="78" t="s">
        <v>506</v>
      </c>
      <c r="D121" s="79" t="s">
        <v>334</v>
      </c>
      <c r="E121" s="87"/>
      <c r="F121" s="80">
        <f t="shared" si="2"/>
        <v>0</v>
      </c>
      <c r="G121" s="80">
        <f t="shared" si="3"/>
        <v>0</v>
      </c>
      <c r="H121" s="81"/>
      <c r="I121" s="81"/>
      <c r="J121" s="82"/>
    </row>
    <row r="122" spans="1:10" hidden="1" outlineLevel="3" x14ac:dyDescent="0.35">
      <c r="A122" s="78">
        <v>5</v>
      </c>
      <c r="B122" s="78" t="s">
        <v>385</v>
      </c>
      <c r="C122" s="78" t="s">
        <v>507</v>
      </c>
      <c r="D122" s="79"/>
      <c r="E122" s="87"/>
      <c r="F122" s="80">
        <f t="shared" si="2"/>
        <v>0</v>
      </c>
      <c r="G122" s="80">
        <f t="shared" si="3"/>
        <v>0</v>
      </c>
      <c r="H122" s="81"/>
      <c r="I122" s="81"/>
      <c r="J122" s="82"/>
    </row>
    <row r="123" spans="1:10" hidden="1" outlineLevel="3" x14ac:dyDescent="0.35">
      <c r="A123" s="78">
        <v>5</v>
      </c>
      <c r="B123" s="78" t="s">
        <v>385</v>
      </c>
      <c r="C123" s="78" t="s">
        <v>508</v>
      </c>
      <c r="D123" s="79"/>
      <c r="E123" s="87"/>
      <c r="F123" s="80">
        <f t="shared" si="2"/>
        <v>0</v>
      </c>
      <c r="G123" s="80">
        <f t="shared" si="3"/>
        <v>0</v>
      </c>
      <c r="H123" s="81"/>
      <c r="I123" s="81"/>
      <c r="J123" s="82"/>
    </row>
    <row r="124" spans="1:10" hidden="1" outlineLevel="3" x14ac:dyDescent="0.35">
      <c r="A124" s="78">
        <v>5</v>
      </c>
      <c r="B124" s="78" t="s">
        <v>385</v>
      </c>
      <c r="C124" s="78" t="s">
        <v>509</v>
      </c>
      <c r="D124" s="79"/>
      <c r="E124" s="87"/>
      <c r="F124" s="80">
        <f t="shared" si="2"/>
        <v>0</v>
      </c>
      <c r="G124" s="80">
        <f t="shared" si="3"/>
        <v>0</v>
      </c>
      <c r="H124" s="81"/>
      <c r="I124" s="81"/>
      <c r="J124" s="82"/>
    </row>
    <row r="125" spans="1:10" hidden="1" outlineLevel="3" x14ac:dyDescent="0.35">
      <c r="A125" s="78">
        <v>5</v>
      </c>
      <c r="B125" s="78" t="s">
        <v>385</v>
      </c>
      <c r="C125" s="78" t="s">
        <v>510</v>
      </c>
      <c r="D125" s="79"/>
      <c r="E125" s="87"/>
      <c r="F125" s="80">
        <f t="shared" si="2"/>
        <v>0</v>
      </c>
      <c r="G125" s="80">
        <f t="shared" si="3"/>
        <v>0</v>
      </c>
      <c r="H125" s="81"/>
      <c r="I125" s="81"/>
      <c r="J125" s="82"/>
    </row>
    <row r="126" spans="1:10" hidden="1" outlineLevel="3" x14ac:dyDescent="0.35">
      <c r="A126" s="78">
        <v>5</v>
      </c>
      <c r="B126" s="78" t="s">
        <v>385</v>
      </c>
      <c r="C126" s="78" t="s">
        <v>511</v>
      </c>
      <c r="D126" s="79"/>
      <c r="E126" s="87"/>
      <c r="F126" s="80">
        <f t="shared" si="2"/>
        <v>0</v>
      </c>
      <c r="G126" s="80">
        <f t="shared" si="3"/>
        <v>0</v>
      </c>
      <c r="H126" s="81"/>
      <c r="I126" s="81"/>
      <c r="J126" s="82"/>
    </row>
    <row r="127" spans="1:10" hidden="1" outlineLevel="2" collapsed="1" x14ac:dyDescent="0.35">
      <c r="A127" s="74">
        <v>4</v>
      </c>
      <c r="B127" s="74" t="s">
        <v>392</v>
      </c>
      <c r="C127" s="74" t="s">
        <v>512</v>
      </c>
      <c r="D127" s="75" t="s">
        <v>404</v>
      </c>
      <c r="E127" s="86" t="str">
        <f>IFERROR(SUBTOTAL(1,E128:E135),"")</f>
        <v/>
      </c>
      <c r="F127" s="74">
        <f t="shared" si="2"/>
        <v>0</v>
      </c>
      <c r="G127" s="74">
        <f t="shared" si="3"/>
        <v>0</v>
      </c>
      <c r="H127" s="76">
        <f>MIN(H128:H135)</f>
        <v>0</v>
      </c>
      <c r="I127" s="76">
        <f>MAX(I128:I135)</f>
        <v>0</v>
      </c>
      <c r="J127" s="77"/>
    </row>
    <row r="128" spans="1:10" hidden="1" outlineLevel="3" x14ac:dyDescent="0.35">
      <c r="A128" s="78">
        <v>5</v>
      </c>
      <c r="B128" s="78" t="s">
        <v>385</v>
      </c>
      <c r="C128" s="78" t="s">
        <v>513</v>
      </c>
      <c r="D128" s="79" t="s">
        <v>330</v>
      </c>
      <c r="E128" s="87"/>
      <c r="F128" s="80">
        <f t="shared" si="2"/>
        <v>0</v>
      </c>
      <c r="G128" s="80">
        <f t="shared" si="3"/>
        <v>0</v>
      </c>
      <c r="H128" s="81"/>
      <c r="I128" s="81"/>
      <c r="J128" s="82"/>
    </row>
    <row r="129" spans="1:10" hidden="1" outlineLevel="3" x14ac:dyDescent="0.35">
      <c r="A129" s="78">
        <v>5</v>
      </c>
      <c r="B129" s="78" t="s">
        <v>385</v>
      </c>
      <c r="C129" s="78" t="s">
        <v>514</v>
      </c>
      <c r="D129" s="79" t="s">
        <v>333</v>
      </c>
      <c r="E129" s="87"/>
      <c r="F129" s="80">
        <f t="shared" si="2"/>
        <v>0</v>
      </c>
      <c r="G129" s="80">
        <f t="shared" si="3"/>
        <v>0</v>
      </c>
      <c r="H129" s="81"/>
      <c r="I129" s="81"/>
      <c r="J129" s="82"/>
    </row>
    <row r="130" spans="1:10" hidden="1" outlineLevel="3" x14ac:dyDescent="0.35">
      <c r="A130" s="78">
        <v>5</v>
      </c>
      <c r="B130" s="78" t="s">
        <v>385</v>
      </c>
      <c r="C130" s="78" t="s">
        <v>515</v>
      </c>
      <c r="D130" s="79" t="s">
        <v>336</v>
      </c>
      <c r="E130" s="87"/>
      <c r="F130" s="80">
        <f t="shared" si="2"/>
        <v>0</v>
      </c>
      <c r="G130" s="80">
        <f t="shared" si="3"/>
        <v>0</v>
      </c>
      <c r="H130" s="81"/>
      <c r="I130" s="81"/>
      <c r="J130" s="82"/>
    </row>
    <row r="131" spans="1:10" hidden="1" outlineLevel="3" x14ac:dyDescent="0.35">
      <c r="A131" s="78">
        <v>5</v>
      </c>
      <c r="B131" s="78" t="s">
        <v>385</v>
      </c>
      <c r="C131" s="78" t="s">
        <v>516</v>
      </c>
      <c r="D131" s="79"/>
      <c r="E131" s="87"/>
      <c r="F131" s="80">
        <f t="shared" si="2"/>
        <v>0</v>
      </c>
      <c r="G131" s="80">
        <f t="shared" si="3"/>
        <v>0</v>
      </c>
      <c r="H131" s="81"/>
      <c r="I131" s="81"/>
      <c r="J131" s="82"/>
    </row>
    <row r="132" spans="1:10" hidden="1" outlineLevel="3" x14ac:dyDescent="0.35">
      <c r="A132" s="78">
        <v>5</v>
      </c>
      <c r="B132" s="78" t="s">
        <v>385</v>
      </c>
      <c r="C132" s="78" t="s">
        <v>517</v>
      </c>
      <c r="D132" s="79"/>
      <c r="E132" s="87"/>
      <c r="F132" s="80">
        <f t="shared" si="2"/>
        <v>0</v>
      </c>
      <c r="G132" s="80">
        <f t="shared" si="3"/>
        <v>0</v>
      </c>
      <c r="H132" s="81"/>
      <c r="I132" s="81"/>
      <c r="J132" s="82"/>
    </row>
    <row r="133" spans="1:10" hidden="1" outlineLevel="3" x14ac:dyDescent="0.35">
      <c r="A133" s="78">
        <v>5</v>
      </c>
      <c r="B133" s="78" t="s">
        <v>385</v>
      </c>
      <c r="C133" s="78" t="s">
        <v>518</v>
      </c>
      <c r="D133" s="79"/>
      <c r="E133" s="87"/>
      <c r="F133" s="80">
        <f t="shared" si="2"/>
        <v>0</v>
      </c>
      <c r="G133" s="80">
        <f t="shared" si="3"/>
        <v>0</v>
      </c>
      <c r="H133" s="81"/>
      <c r="I133" s="81"/>
      <c r="J133" s="82"/>
    </row>
    <row r="134" spans="1:10" hidden="1" outlineLevel="3" x14ac:dyDescent="0.35">
      <c r="A134" s="78">
        <v>5</v>
      </c>
      <c r="B134" s="78" t="s">
        <v>385</v>
      </c>
      <c r="C134" s="78" t="s">
        <v>519</v>
      </c>
      <c r="D134" s="79"/>
      <c r="E134" s="87"/>
      <c r="F134" s="80">
        <f t="shared" ref="F134:F197" si="4">IFERROR(DATEDIF(H134,I134,"D"),0)</f>
        <v>0</v>
      </c>
      <c r="G134" s="80">
        <f t="shared" ref="G134:G197" si="5">IFERROR(NETWORKDAYS.INTL(H134,I134),0)</f>
        <v>0</v>
      </c>
      <c r="H134" s="81"/>
      <c r="I134" s="81"/>
      <c r="J134" s="82"/>
    </row>
    <row r="135" spans="1:10" hidden="1" outlineLevel="3" x14ac:dyDescent="0.35">
      <c r="A135" s="78">
        <v>5</v>
      </c>
      <c r="B135" s="78" t="s">
        <v>385</v>
      </c>
      <c r="C135" s="78" t="s">
        <v>520</v>
      </c>
      <c r="D135" s="79"/>
      <c r="E135" s="87"/>
      <c r="F135" s="80">
        <f t="shared" si="4"/>
        <v>0</v>
      </c>
      <c r="G135" s="80">
        <f t="shared" si="5"/>
        <v>0</v>
      </c>
      <c r="H135" s="81"/>
      <c r="I135" s="81"/>
      <c r="J135" s="82"/>
    </row>
    <row r="136" spans="1:10" hidden="1" outlineLevel="2" collapsed="1" x14ac:dyDescent="0.35">
      <c r="A136" s="74">
        <v>4</v>
      </c>
      <c r="B136" s="74" t="s">
        <v>392</v>
      </c>
      <c r="C136" s="74" t="s">
        <v>521</v>
      </c>
      <c r="D136" s="75" t="s">
        <v>414</v>
      </c>
      <c r="E136" s="86" t="str">
        <f>IFERROR(SUBTOTAL(1,E137:E144),"")</f>
        <v/>
      </c>
      <c r="F136" s="74">
        <f t="shared" si="4"/>
        <v>0</v>
      </c>
      <c r="G136" s="74">
        <f t="shared" si="5"/>
        <v>0</v>
      </c>
      <c r="H136" s="76">
        <f>MIN(H137:H144)</f>
        <v>0</v>
      </c>
      <c r="I136" s="76">
        <f>MAX(I137:I144)</f>
        <v>0</v>
      </c>
      <c r="J136" s="77"/>
    </row>
    <row r="137" spans="1:10" hidden="1" outlineLevel="3" x14ac:dyDescent="0.35">
      <c r="A137" s="78">
        <v>5</v>
      </c>
      <c r="B137" s="78" t="s">
        <v>385</v>
      </c>
      <c r="C137" s="78" t="s">
        <v>522</v>
      </c>
      <c r="D137" s="79" t="s">
        <v>335</v>
      </c>
      <c r="E137" s="87"/>
      <c r="F137" s="80">
        <f t="shared" si="4"/>
        <v>0</v>
      </c>
      <c r="G137" s="80">
        <f t="shared" si="5"/>
        <v>0</v>
      </c>
      <c r="H137" s="81"/>
      <c r="I137" s="81"/>
      <c r="J137" s="82"/>
    </row>
    <row r="138" spans="1:10" hidden="1" outlineLevel="3" x14ac:dyDescent="0.35">
      <c r="A138" s="78">
        <v>5</v>
      </c>
      <c r="B138" s="78" t="s">
        <v>385</v>
      </c>
      <c r="C138" s="78" t="s">
        <v>523</v>
      </c>
      <c r="D138" s="79" t="s">
        <v>337</v>
      </c>
      <c r="E138" s="87"/>
      <c r="F138" s="80">
        <f t="shared" si="4"/>
        <v>0</v>
      </c>
      <c r="G138" s="80">
        <f t="shared" si="5"/>
        <v>0</v>
      </c>
      <c r="H138" s="81"/>
      <c r="I138" s="81"/>
      <c r="J138" s="82"/>
    </row>
    <row r="139" spans="1:10" hidden="1" outlineLevel="3" x14ac:dyDescent="0.35">
      <c r="A139" s="78">
        <v>5</v>
      </c>
      <c r="B139" s="78" t="s">
        <v>385</v>
      </c>
      <c r="C139" s="78" t="s">
        <v>524</v>
      </c>
      <c r="D139" s="79"/>
      <c r="E139" s="87"/>
      <c r="F139" s="80">
        <f t="shared" si="4"/>
        <v>0</v>
      </c>
      <c r="G139" s="80">
        <f t="shared" si="5"/>
        <v>0</v>
      </c>
      <c r="H139" s="81"/>
      <c r="I139" s="81"/>
      <c r="J139" s="82"/>
    </row>
    <row r="140" spans="1:10" hidden="1" outlineLevel="3" x14ac:dyDescent="0.35">
      <c r="A140" s="78">
        <v>5</v>
      </c>
      <c r="B140" s="78" t="s">
        <v>385</v>
      </c>
      <c r="C140" s="78" t="s">
        <v>525</v>
      </c>
      <c r="D140" s="79"/>
      <c r="E140" s="87"/>
      <c r="F140" s="80">
        <f t="shared" si="4"/>
        <v>0</v>
      </c>
      <c r="G140" s="80">
        <f t="shared" si="5"/>
        <v>0</v>
      </c>
      <c r="H140" s="81"/>
      <c r="I140" s="81"/>
      <c r="J140" s="82"/>
    </row>
    <row r="141" spans="1:10" hidden="1" outlineLevel="3" x14ac:dyDescent="0.35">
      <c r="A141" s="78">
        <v>5</v>
      </c>
      <c r="B141" s="78" t="s">
        <v>385</v>
      </c>
      <c r="C141" s="78" t="s">
        <v>526</v>
      </c>
      <c r="D141" s="79"/>
      <c r="E141" s="87"/>
      <c r="F141" s="80">
        <f t="shared" si="4"/>
        <v>0</v>
      </c>
      <c r="G141" s="80">
        <f t="shared" si="5"/>
        <v>0</v>
      </c>
      <c r="H141" s="81"/>
      <c r="I141" s="81"/>
      <c r="J141" s="82"/>
    </row>
    <row r="142" spans="1:10" hidden="1" outlineLevel="3" x14ac:dyDescent="0.35">
      <c r="A142" s="78">
        <v>5</v>
      </c>
      <c r="B142" s="78" t="s">
        <v>385</v>
      </c>
      <c r="C142" s="78" t="s">
        <v>527</v>
      </c>
      <c r="D142" s="79"/>
      <c r="E142" s="87"/>
      <c r="F142" s="80">
        <f t="shared" si="4"/>
        <v>0</v>
      </c>
      <c r="G142" s="80">
        <f t="shared" si="5"/>
        <v>0</v>
      </c>
      <c r="H142" s="81"/>
      <c r="I142" s="81"/>
      <c r="J142" s="82"/>
    </row>
    <row r="143" spans="1:10" hidden="1" outlineLevel="3" x14ac:dyDescent="0.35">
      <c r="A143" s="78">
        <v>5</v>
      </c>
      <c r="B143" s="78" t="s">
        <v>385</v>
      </c>
      <c r="C143" s="78" t="s">
        <v>528</v>
      </c>
      <c r="D143" s="79"/>
      <c r="E143" s="87"/>
      <c r="F143" s="80">
        <f t="shared" si="4"/>
        <v>0</v>
      </c>
      <c r="G143" s="80">
        <f t="shared" si="5"/>
        <v>0</v>
      </c>
      <c r="H143" s="81"/>
      <c r="I143" s="81"/>
      <c r="J143" s="82"/>
    </row>
    <row r="144" spans="1:10" hidden="1" outlineLevel="3" x14ac:dyDescent="0.35">
      <c r="A144" s="78">
        <v>5</v>
      </c>
      <c r="B144" s="78" t="s">
        <v>385</v>
      </c>
      <c r="C144" s="78" t="s">
        <v>529</v>
      </c>
      <c r="D144" s="79"/>
      <c r="E144" s="87"/>
      <c r="F144" s="80">
        <f t="shared" si="4"/>
        <v>0</v>
      </c>
      <c r="G144" s="80">
        <f t="shared" si="5"/>
        <v>0</v>
      </c>
      <c r="H144" s="81"/>
      <c r="I144" s="81"/>
      <c r="J144" s="82"/>
    </row>
    <row r="145" spans="1:10" hidden="1" outlineLevel="2" collapsed="1" x14ac:dyDescent="0.35">
      <c r="A145" s="74">
        <v>4</v>
      </c>
      <c r="B145" s="74" t="s">
        <v>392</v>
      </c>
      <c r="C145" s="74" t="s">
        <v>530</v>
      </c>
      <c r="D145" s="75" t="s">
        <v>424</v>
      </c>
      <c r="E145" s="86" t="str">
        <f>IFERROR(SUBTOTAL(1,E146:E153),"")</f>
        <v/>
      </c>
      <c r="F145" s="74">
        <f t="shared" si="4"/>
        <v>0</v>
      </c>
      <c r="G145" s="74">
        <f t="shared" si="5"/>
        <v>0</v>
      </c>
      <c r="H145" s="76">
        <f>MIN(H146:H153)</f>
        <v>0</v>
      </c>
      <c r="I145" s="76">
        <f>MAX(I146:I153)</f>
        <v>0</v>
      </c>
      <c r="J145" s="77"/>
    </row>
    <row r="146" spans="1:10" hidden="1" outlineLevel="3" x14ac:dyDescent="0.35">
      <c r="A146" s="78">
        <v>5</v>
      </c>
      <c r="B146" s="78" t="s">
        <v>385</v>
      </c>
      <c r="C146" s="78" t="s">
        <v>531</v>
      </c>
      <c r="D146" s="79"/>
      <c r="E146" s="87"/>
      <c r="F146" s="80">
        <f t="shared" si="4"/>
        <v>0</v>
      </c>
      <c r="G146" s="80">
        <f t="shared" si="5"/>
        <v>0</v>
      </c>
      <c r="H146" s="81"/>
      <c r="I146" s="81"/>
      <c r="J146" s="82"/>
    </row>
    <row r="147" spans="1:10" hidden="1" outlineLevel="3" x14ac:dyDescent="0.35">
      <c r="A147" s="78">
        <v>5</v>
      </c>
      <c r="B147" s="78" t="s">
        <v>385</v>
      </c>
      <c r="C147" s="78" t="s">
        <v>532</v>
      </c>
      <c r="D147" s="79"/>
      <c r="E147" s="87"/>
      <c r="F147" s="80">
        <f t="shared" si="4"/>
        <v>0</v>
      </c>
      <c r="G147" s="80">
        <f t="shared" si="5"/>
        <v>0</v>
      </c>
      <c r="H147" s="81"/>
      <c r="I147" s="81"/>
      <c r="J147" s="82"/>
    </row>
    <row r="148" spans="1:10" hidden="1" outlineLevel="3" x14ac:dyDescent="0.35">
      <c r="A148" s="78">
        <v>5</v>
      </c>
      <c r="B148" s="78" t="s">
        <v>385</v>
      </c>
      <c r="C148" s="78" t="s">
        <v>533</v>
      </c>
      <c r="D148" s="79"/>
      <c r="E148" s="87"/>
      <c r="F148" s="80">
        <f t="shared" si="4"/>
        <v>0</v>
      </c>
      <c r="G148" s="80">
        <f t="shared" si="5"/>
        <v>0</v>
      </c>
      <c r="H148" s="81"/>
      <c r="I148" s="81"/>
      <c r="J148" s="82"/>
    </row>
    <row r="149" spans="1:10" hidden="1" outlineLevel="3" x14ac:dyDescent="0.35">
      <c r="A149" s="78">
        <v>5</v>
      </c>
      <c r="B149" s="78" t="s">
        <v>385</v>
      </c>
      <c r="C149" s="78" t="s">
        <v>534</v>
      </c>
      <c r="D149" s="79"/>
      <c r="E149" s="87"/>
      <c r="F149" s="80">
        <f t="shared" si="4"/>
        <v>0</v>
      </c>
      <c r="G149" s="80">
        <f t="shared" si="5"/>
        <v>0</v>
      </c>
      <c r="H149" s="81"/>
      <c r="I149" s="81"/>
      <c r="J149" s="82"/>
    </row>
    <row r="150" spans="1:10" hidden="1" outlineLevel="3" x14ac:dyDescent="0.35">
      <c r="A150" s="78">
        <v>5</v>
      </c>
      <c r="B150" s="78" t="s">
        <v>385</v>
      </c>
      <c r="C150" s="78" t="s">
        <v>535</v>
      </c>
      <c r="D150" s="79"/>
      <c r="E150" s="87"/>
      <c r="F150" s="80">
        <f t="shared" si="4"/>
        <v>0</v>
      </c>
      <c r="G150" s="80">
        <f t="shared" si="5"/>
        <v>0</v>
      </c>
      <c r="H150" s="81"/>
      <c r="I150" s="81"/>
      <c r="J150" s="82"/>
    </row>
    <row r="151" spans="1:10" hidden="1" outlineLevel="3" x14ac:dyDescent="0.35">
      <c r="A151" s="78">
        <v>5</v>
      </c>
      <c r="B151" s="78" t="s">
        <v>385</v>
      </c>
      <c r="C151" s="78" t="s">
        <v>536</v>
      </c>
      <c r="D151" s="79"/>
      <c r="E151" s="87"/>
      <c r="F151" s="80">
        <f t="shared" si="4"/>
        <v>0</v>
      </c>
      <c r="G151" s="80">
        <f t="shared" si="5"/>
        <v>0</v>
      </c>
      <c r="H151" s="81"/>
      <c r="I151" s="81"/>
      <c r="J151" s="82"/>
    </row>
    <row r="152" spans="1:10" hidden="1" outlineLevel="3" x14ac:dyDescent="0.35">
      <c r="A152" s="78">
        <v>5</v>
      </c>
      <c r="B152" s="78" t="s">
        <v>385</v>
      </c>
      <c r="C152" s="78" t="s">
        <v>537</v>
      </c>
      <c r="D152" s="79"/>
      <c r="E152" s="87"/>
      <c r="F152" s="80">
        <f t="shared" si="4"/>
        <v>0</v>
      </c>
      <c r="G152" s="80">
        <f t="shared" si="5"/>
        <v>0</v>
      </c>
      <c r="H152" s="81"/>
      <c r="I152" s="81"/>
      <c r="J152" s="82"/>
    </row>
    <row r="153" spans="1:10" hidden="1" outlineLevel="3" x14ac:dyDescent="0.35">
      <c r="A153" s="78">
        <v>5</v>
      </c>
      <c r="B153" s="78" t="s">
        <v>385</v>
      </c>
      <c r="C153" s="78" t="s">
        <v>538</v>
      </c>
      <c r="D153" s="79"/>
      <c r="E153" s="87"/>
      <c r="F153" s="80">
        <f t="shared" si="4"/>
        <v>0</v>
      </c>
      <c r="G153" s="80">
        <f t="shared" si="5"/>
        <v>0</v>
      </c>
      <c r="H153" s="81"/>
      <c r="I153" s="81"/>
      <c r="J153" s="82"/>
    </row>
    <row r="154" spans="1:10" hidden="1" outlineLevel="2" collapsed="1" x14ac:dyDescent="0.35">
      <c r="A154" s="74">
        <v>4</v>
      </c>
      <c r="B154" s="74" t="s">
        <v>392</v>
      </c>
      <c r="C154" s="74" t="s">
        <v>539</v>
      </c>
      <c r="D154" s="75" t="s">
        <v>434</v>
      </c>
      <c r="E154" s="86" t="str">
        <f>IFERROR(SUBTOTAL(1,E155:E162),"")</f>
        <v/>
      </c>
      <c r="F154" s="74">
        <f t="shared" si="4"/>
        <v>0</v>
      </c>
      <c r="G154" s="74">
        <f t="shared" si="5"/>
        <v>0</v>
      </c>
      <c r="H154" s="76">
        <f>MIN(H155:H162)</f>
        <v>0</v>
      </c>
      <c r="I154" s="76">
        <f>MAX(I155:I162)</f>
        <v>0</v>
      </c>
      <c r="J154" s="77"/>
    </row>
    <row r="155" spans="1:10" hidden="1" outlineLevel="3" x14ac:dyDescent="0.35">
      <c r="A155" s="78">
        <v>5</v>
      </c>
      <c r="B155" s="78" t="s">
        <v>385</v>
      </c>
      <c r="C155" s="78" t="s">
        <v>540</v>
      </c>
      <c r="D155" s="79" t="s">
        <v>329</v>
      </c>
      <c r="E155" s="87"/>
      <c r="F155" s="80">
        <f t="shared" si="4"/>
        <v>0</v>
      </c>
      <c r="G155" s="80">
        <f t="shared" si="5"/>
        <v>0</v>
      </c>
      <c r="H155" s="81"/>
      <c r="I155" s="81"/>
      <c r="J155" s="82"/>
    </row>
    <row r="156" spans="1:10" hidden="1" outlineLevel="3" x14ac:dyDescent="0.35">
      <c r="A156" s="78">
        <v>5</v>
      </c>
      <c r="B156" s="78" t="s">
        <v>385</v>
      </c>
      <c r="C156" s="78" t="s">
        <v>541</v>
      </c>
      <c r="D156" s="79" t="s">
        <v>331</v>
      </c>
      <c r="E156" s="87"/>
      <c r="F156" s="80">
        <f t="shared" si="4"/>
        <v>0</v>
      </c>
      <c r="G156" s="80">
        <f t="shared" si="5"/>
        <v>0</v>
      </c>
      <c r="H156" s="81"/>
      <c r="I156" s="81"/>
      <c r="J156" s="82"/>
    </row>
    <row r="157" spans="1:10" hidden="1" outlineLevel="3" x14ac:dyDescent="0.35">
      <c r="A157" s="78">
        <v>5</v>
      </c>
      <c r="B157" s="78" t="s">
        <v>385</v>
      </c>
      <c r="C157" s="78" t="s">
        <v>542</v>
      </c>
      <c r="D157" s="79"/>
      <c r="E157" s="87"/>
      <c r="F157" s="80">
        <f t="shared" si="4"/>
        <v>0</v>
      </c>
      <c r="G157" s="80">
        <f t="shared" si="5"/>
        <v>0</v>
      </c>
      <c r="H157" s="81"/>
      <c r="I157" s="81"/>
      <c r="J157" s="82"/>
    </row>
    <row r="158" spans="1:10" hidden="1" outlineLevel="3" x14ac:dyDescent="0.35">
      <c r="A158" s="78">
        <v>5</v>
      </c>
      <c r="B158" s="78" t="s">
        <v>385</v>
      </c>
      <c r="C158" s="78" t="s">
        <v>543</v>
      </c>
      <c r="D158" s="79"/>
      <c r="E158" s="87"/>
      <c r="F158" s="80">
        <f t="shared" si="4"/>
        <v>0</v>
      </c>
      <c r="G158" s="80">
        <f t="shared" si="5"/>
        <v>0</v>
      </c>
      <c r="H158" s="81"/>
      <c r="I158" s="81"/>
      <c r="J158" s="82"/>
    </row>
    <row r="159" spans="1:10" hidden="1" outlineLevel="3" x14ac:dyDescent="0.35">
      <c r="A159" s="78">
        <v>5</v>
      </c>
      <c r="B159" s="78" t="s">
        <v>385</v>
      </c>
      <c r="C159" s="78" t="s">
        <v>544</v>
      </c>
      <c r="D159" s="79"/>
      <c r="E159" s="87"/>
      <c r="F159" s="80">
        <f t="shared" si="4"/>
        <v>0</v>
      </c>
      <c r="G159" s="80">
        <f t="shared" si="5"/>
        <v>0</v>
      </c>
      <c r="H159" s="81"/>
      <c r="I159" s="81"/>
      <c r="J159" s="82"/>
    </row>
    <row r="160" spans="1:10" hidden="1" outlineLevel="3" x14ac:dyDescent="0.35">
      <c r="A160" s="78">
        <v>5</v>
      </c>
      <c r="B160" s="78" t="s">
        <v>385</v>
      </c>
      <c r="C160" s="78" t="s">
        <v>545</v>
      </c>
      <c r="D160" s="79"/>
      <c r="E160" s="87"/>
      <c r="F160" s="80">
        <f t="shared" si="4"/>
        <v>0</v>
      </c>
      <c r="G160" s="80">
        <f t="shared" si="5"/>
        <v>0</v>
      </c>
      <c r="H160" s="81"/>
      <c r="I160" s="81"/>
      <c r="J160" s="82"/>
    </row>
    <row r="161" spans="1:10" hidden="1" outlineLevel="3" x14ac:dyDescent="0.35">
      <c r="A161" s="78">
        <v>5</v>
      </c>
      <c r="B161" s="78" t="s">
        <v>385</v>
      </c>
      <c r="C161" s="78" t="s">
        <v>546</v>
      </c>
      <c r="D161" s="79"/>
      <c r="E161" s="87"/>
      <c r="F161" s="80">
        <f t="shared" si="4"/>
        <v>0</v>
      </c>
      <c r="G161" s="80">
        <f t="shared" si="5"/>
        <v>0</v>
      </c>
      <c r="H161" s="81"/>
      <c r="I161" s="81"/>
      <c r="J161" s="82"/>
    </row>
    <row r="162" spans="1:10" hidden="1" outlineLevel="3" x14ac:dyDescent="0.35">
      <c r="A162" s="78">
        <v>5</v>
      </c>
      <c r="B162" s="78" t="s">
        <v>385</v>
      </c>
      <c r="C162" s="78" t="s">
        <v>547</v>
      </c>
      <c r="D162" s="79"/>
      <c r="E162" s="87"/>
      <c r="F162" s="80">
        <f t="shared" si="4"/>
        <v>0</v>
      </c>
      <c r="G162" s="80">
        <f t="shared" si="5"/>
        <v>0</v>
      </c>
      <c r="H162" s="81"/>
      <c r="I162" s="81"/>
      <c r="J162" s="82"/>
    </row>
    <row r="163" spans="1:10" hidden="1" outlineLevel="2" collapsed="1" x14ac:dyDescent="0.35">
      <c r="A163" s="74">
        <v>4</v>
      </c>
      <c r="B163" s="74" t="s">
        <v>392</v>
      </c>
      <c r="C163" s="74" t="s">
        <v>548</v>
      </c>
      <c r="D163" s="75" t="s">
        <v>444</v>
      </c>
      <c r="E163" s="86" t="str">
        <f>IFERROR(SUBTOTAL(1,E164:E171),"")</f>
        <v/>
      </c>
      <c r="F163" s="74">
        <f t="shared" si="4"/>
        <v>0</v>
      </c>
      <c r="G163" s="74">
        <f t="shared" si="5"/>
        <v>0</v>
      </c>
      <c r="H163" s="76">
        <f>MIN(H164:H171)</f>
        <v>0</v>
      </c>
      <c r="I163" s="76">
        <f>MAX(I164:I171)</f>
        <v>0</v>
      </c>
      <c r="J163" s="77"/>
    </row>
    <row r="164" spans="1:10" hidden="1" outlineLevel="3" x14ac:dyDescent="0.35">
      <c r="A164" s="78">
        <v>5</v>
      </c>
      <c r="B164" s="78" t="s">
        <v>385</v>
      </c>
      <c r="C164" s="78" t="s">
        <v>1613</v>
      </c>
      <c r="D164" s="79"/>
      <c r="E164" s="87"/>
      <c r="F164" s="80">
        <f t="shared" si="4"/>
        <v>0</v>
      </c>
      <c r="G164" s="80">
        <f t="shared" si="5"/>
        <v>0</v>
      </c>
      <c r="H164" s="81"/>
      <c r="I164" s="81"/>
      <c r="J164" s="82"/>
    </row>
    <row r="165" spans="1:10" hidden="1" outlineLevel="3" x14ac:dyDescent="0.35">
      <c r="A165" s="78">
        <v>5</v>
      </c>
      <c r="B165" s="78" t="s">
        <v>385</v>
      </c>
      <c r="C165" s="78" t="s">
        <v>1614</v>
      </c>
      <c r="D165" s="79"/>
      <c r="E165" s="87"/>
      <c r="F165" s="80">
        <f t="shared" si="4"/>
        <v>0</v>
      </c>
      <c r="G165" s="80">
        <f t="shared" si="5"/>
        <v>0</v>
      </c>
      <c r="H165" s="81"/>
      <c r="I165" s="81"/>
      <c r="J165" s="82"/>
    </row>
    <row r="166" spans="1:10" hidden="1" outlineLevel="3" x14ac:dyDescent="0.35">
      <c r="A166" s="78">
        <v>5</v>
      </c>
      <c r="B166" s="78" t="s">
        <v>385</v>
      </c>
      <c r="C166" s="78" t="s">
        <v>1615</v>
      </c>
      <c r="D166" s="79"/>
      <c r="E166" s="87"/>
      <c r="F166" s="80">
        <f t="shared" si="4"/>
        <v>0</v>
      </c>
      <c r="G166" s="80">
        <f t="shared" si="5"/>
        <v>0</v>
      </c>
      <c r="H166" s="81"/>
      <c r="I166" s="81"/>
      <c r="J166" s="82"/>
    </row>
    <row r="167" spans="1:10" hidden="1" outlineLevel="3" x14ac:dyDescent="0.35">
      <c r="A167" s="78">
        <v>5</v>
      </c>
      <c r="B167" s="78" t="s">
        <v>385</v>
      </c>
      <c r="C167" s="78" t="s">
        <v>1616</v>
      </c>
      <c r="D167" s="79"/>
      <c r="E167" s="87"/>
      <c r="F167" s="80">
        <f t="shared" si="4"/>
        <v>0</v>
      </c>
      <c r="G167" s="80">
        <f t="shared" si="5"/>
        <v>0</v>
      </c>
      <c r="H167" s="81"/>
      <c r="I167" s="81"/>
      <c r="J167" s="82"/>
    </row>
    <row r="168" spans="1:10" hidden="1" outlineLevel="3" x14ac:dyDescent="0.35">
      <c r="A168" s="78">
        <v>5</v>
      </c>
      <c r="B168" s="78" t="s">
        <v>385</v>
      </c>
      <c r="C168" s="78" t="s">
        <v>1617</v>
      </c>
      <c r="D168" s="79"/>
      <c r="E168" s="87"/>
      <c r="F168" s="80">
        <f t="shared" si="4"/>
        <v>0</v>
      </c>
      <c r="G168" s="80">
        <f t="shared" si="5"/>
        <v>0</v>
      </c>
      <c r="H168" s="81"/>
      <c r="I168" s="81"/>
      <c r="J168" s="82"/>
    </row>
    <row r="169" spans="1:10" hidden="1" outlineLevel="3" x14ac:dyDescent="0.35">
      <c r="A169" s="78">
        <v>5</v>
      </c>
      <c r="B169" s="78" t="s">
        <v>385</v>
      </c>
      <c r="C169" s="78" t="s">
        <v>1618</v>
      </c>
      <c r="D169" s="79"/>
      <c r="E169" s="87"/>
      <c r="F169" s="80">
        <f t="shared" si="4"/>
        <v>0</v>
      </c>
      <c r="G169" s="80">
        <f t="shared" si="5"/>
        <v>0</v>
      </c>
      <c r="H169" s="81"/>
      <c r="I169" s="81"/>
      <c r="J169" s="82"/>
    </row>
    <row r="170" spans="1:10" hidden="1" outlineLevel="3" x14ac:dyDescent="0.35">
      <c r="A170" s="78">
        <v>5</v>
      </c>
      <c r="B170" s="78" t="s">
        <v>385</v>
      </c>
      <c r="C170" s="78" t="s">
        <v>1619</v>
      </c>
      <c r="D170" s="79"/>
      <c r="E170" s="87"/>
      <c r="F170" s="80">
        <f t="shared" si="4"/>
        <v>0</v>
      </c>
      <c r="G170" s="80">
        <f t="shared" si="5"/>
        <v>0</v>
      </c>
      <c r="H170" s="81"/>
      <c r="I170" s="81"/>
      <c r="J170" s="82"/>
    </row>
    <row r="171" spans="1:10" hidden="1" outlineLevel="3" x14ac:dyDescent="0.35">
      <c r="A171" s="78">
        <v>5</v>
      </c>
      <c r="B171" s="78" t="s">
        <v>385</v>
      </c>
      <c r="C171" s="78" t="s">
        <v>1620</v>
      </c>
      <c r="D171" s="79"/>
      <c r="E171" s="87"/>
      <c r="F171" s="80">
        <f t="shared" si="4"/>
        <v>0</v>
      </c>
      <c r="G171" s="80">
        <f t="shared" si="5"/>
        <v>0</v>
      </c>
      <c r="H171" s="81"/>
      <c r="I171" s="81"/>
      <c r="J171" s="82"/>
    </row>
    <row r="172" spans="1:10" outlineLevel="1" collapsed="1" x14ac:dyDescent="0.35">
      <c r="A172" s="67">
        <v>3</v>
      </c>
      <c r="B172" s="67" t="s">
        <v>298</v>
      </c>
      <c r="C172" s="67" t="s">
        <v>549</v>
      </c>
      <c r="D172" s="73" t="s">
        <v>550</v>
      </c>
      <c r="E172" s="85" t="str">
        <f>IFERROR(AVERAGE(E173,E182,E191,E200,E209,E218),"")</f>
        <v/>
      </c>
      <c r="F172" s="67">
        <f t="shared" si="4"/>
        <v>0</v>
      </c>
      <c r="G172" s="67">
        <f t="shared" si="5"/>
        <v>0</v>
      </c>
      <c r="H172" s="72">
        <f>MIN(H173,H182,H191,H200,H209,H218)</f>
        <v>0</v>
      </c>
      <c r="I172" s="72">
        <f>MAX(I173,I182,I191,I200,I209,I218)</f>
        <v>0</v>
      </c>
      <c r="J172" s="71"/>
    </row>
    <row r="173" spans="1:10" hidden="1" outlineLevel="2" collapsed="1" x14ac:dyDescent="0.35">
      <c r="A173" s="74">
        <v>4</v>
      </c>
      <c r="B173" s="74" t="s">
        <v>392</v>
      </c>
      <c r="C173" s="74" t="s">
        <v>551</v>
      </c>
      <c r="D173" s="75" t="s">
        <v>394</v>
      </c>
      <c r="E173" s="86" t="str">
        <f>IFERROR(SUBTOTAL(1,E174:E181),"")</f>
        <v/>
      </c>
      <c r="F173" s="74">
        <f t="shared" si="4"/>
        <v>0</v>
      </c>
      <c r="G173" s="74">
        <f t="shared" si="5"/>
        <v>0</v>
      </c>
      <c r="H173" s="76">
        <f>MIN(H174:H181)</f>
        <v>0</v>
      </c>
      <c r="I173" s="76">
        <f>MAX(I174:I181)</f>
        <v>0</v>
      </c>
      <c r="J173" s="77"/>
    </row>
    <row r="174" spans="1:10" hidden="1" outlineLevel="3" x14ac:dyDescent="0.35">
      <c r="A174" s="78">
        <v>5</v>
      </c>
      <c r="B174" s="78" t="s">
        <v>385</v>
      </c>
      <c r="C174" s="78" t="s">
        <v>552</v>
      </c>
      <c r="D174" s="79" t="s">
        <v>328</v>
      </c>
      <c r="E174" s="87"/>
      <c r="F174" s="80">
        <f t="shared" si="4"/>
        <v>0</v>
      </c>
      <c r="G174" s="80">
        <f t="shared" si="5"/>
        <v>0</v>
      </c>
      <c r="H174" s="81"/>
      <c r="I174" s="81"/>
      <c r="J174" s="82"/>
    </row>
    <row r="175" spans="1:10" hidden="1" outlineLevel="3" x14ac:dyDescent="0.35">
      <c r="A175" s="78">
        <v>5</v>
      </c>
      <c r="B175" s="78" t="s">
        <v>385</v>
      </c>
      <c r="C175" s="78" t="s">
        <v>553</v>
      </c>
      <c r="D175" s="79" t="s">
        <v>334</v>
      </c>
      <c r="E175" s="87"/>
      <c r="F175" s="80">
        <f t="shared" si="4"/>
        <v>0</v>
      </c>
      <c r="G175" s="80">
        <f t="shared" si="5"/>
        <v>0</v>
      </c>
      <c r="H175" s="81"/>
      <c r="I175" s="81"/>
      <c r="J175" s="82"/>
    </row>
    <row r="176" spans="1:10" hidden="1" outlineLevel="3" x14ac:dyDescent="0.35">
      <c r="A176" s="78">
        <v>5</v>
      </c>
      <c r="B176" s="78" t="s">
        <v>385</v>
      </c>
      <c r="C176" s="78" t="s">
        <v>554</v>
      </c>
      <c r="D176" s="79" t="s">
        <v>337</v>
      </c>
      <c r="E176" s="87"/>
      <c r="F176" s="80">
        <f t="shared" si="4"/>
        <v>0</v>
      </c>
      <c r="G176" s="80">
        <f t="shared" si="5"/>
        <v>0</v>
      </c>
      <c r="H176" s="81"/>
      <c r="I176" s="81"/>
      <c r="J176" s="82"/>
    </row>
    <row r="177" spans="1:10" hidden="1" outlineLevel="3" x14ac:dyDescent="0.35">
      <c r="A177" s="78">
        <v>5</v>
      </c>
      <c r="B177" s="78" t="s">
        <v>385</v>
      </c>
      <c r="C177" s="78" t="s">
        <v>555</v>
      </c>
      <c r="D177" s="79"/>
      <c r="E177" s="87"/>
      <c r="F177" s="80">
        <f t="shared" si="4"/>
        <v>0</v>
      </c>
      <c r="G177" s="80">
        <f t="shared" si="5"/>
        <v>0</v>
      </c>
      <c r="H177" s="81"/>
      <c r="I177" s="81"/>
      <c r="J177" s="82"/>
    </row>
    <row r="178" spans="1:10" hidden="1" outlineLevel="3" x14ac:dyDescent="0.35">
      <c r="A178" s="78">
        <v>5</v>
      </c>
      <c r="B178" s="78" t="s">
        <v>385</v>
      </c>
      <c r="C178" s="78" t="s">
        <v>556</v>
      </c>
      <c r="D178" s="79"/>
      <c r="E178" s="87"/>
      <c r="F178" s="80">
        <f t="shared" si="4"/>
        <v>0</v>
      </c>
      <c r="G178" s="80">
        <f t="shared" si="5"/>
        <v>0</v>
      </c>
      <c r="H178" s="81"/>
      <c r="I178" s="81"/>
      <c r="J178" s="82"/>
    </row>
    <row r="179" spans="1:10" hidden="1" outlineLevel="3" x14ac:dyDescent="0.35">
      <c r="A179" s="78">
        <v>5</v>
      </c>
      <c r="B179" s="78" t="s">
        <v>385</v>
      </c>
      <c r="C179" s="78" t="s">
        <v>557</v>
      </c>
      <c r="D179" s="79"/>
      <c r="E179" s="87"/>
      <c r="F179" s="80">
        <f t="shared" si="4"/>
        <v>0</v>
      </c>
      <c r="G179" s="80">
        <f t="shared" si="5"/>
        <v>0</v>
      </c>
      <c r="H179" s="81"/>
      <c r="I179" s="81"/>
      <c r="J179" s="82"/>
    </row>
    <row r="180" spans="1:10" hidden="1" outlineLevel="3" x14ac:dyDescent="0.35">
      <c r="A180" s="78">
        <v>5</v>
      </c>
      <c r="B180" s="78" t="s">
        <v>385</v>
      </c>
      <c r="C180" s="78" t="s">
        <v>558</v>
      </c>
      <c r="D180" s="79"/>
      <c r="E180" s="87"/>
      <c r="F180" s="80">
        <f t="shared" si="4"/>
        <v>0</v>
      </c>
      <c r="G180" s="80">
        <f t="shared" si="5"/>
        <v>0</v>
      </c>
      <c r="H180" s="81"/>
      <c r="I180" s="81"/>
      <c r="J180" s="82"/>
    </row>
    <row r="181" spans="1:10" hidden="1" outlineLevel="3" x14ac:dyDescent="0.35">
      <c r="A181" s="78">
        <v>5</v>
      </c>
      <c r="B181" s="78" t="s">
        <v>385</v>
      </c>
      <c r="C181" s="78" t="s">
        <v>559</v>
      </c>
      <c r="D181" s="79"/>
      <c r="E181" s="87"/>
      <c r="F181" s="80">
        <f t="shared" si="4"/>
        <v>0</v>
      </c>
      <c r="G181" s="80">
        <f t="shared" si="5"/>
        <v>0</v>
      </c>
      <c r="H181" s="81"/>
      <c r="I181" s="81"/>
      <c r="J181" s="82"/>
    </row>
    <row r="182" spans="1:10" hidden="1" outlineLevel="2" collapsed="1" x14ac:dyDescent="0.35">
      <c r="A182" s="74">
        <v>4</v>
      </c>
      <c r="B182" s="74" t="s">
        <v>392</v>
      </c>
      <c r="C182" s="74" t="s">
        <v>560</v>
      </c>
      <c r="D182" s="75" t="s">
        <v>404</v>
      </c>
      <c r="E182" s="86" t="str">
        <f>IFERROR(SUBTOTAL(1,E183:E190),"")</f>
        <v/>
      </c>
      <c r="F182" s="74">
        <f t="shared" si="4"/>
        <v>0</v>
      </c>
      <c r="G182" s="74">
        <f t="shared" si="5"/>
        <v>0</v>
      </c>
      <c r="H182" s="76">
        <f>MIN(H183:H190)</f>
        <v>0</v>
      </c>
      <c r="I182" s="76">
        <f>MAX(I183:I190)</f>
        <v>0</v>
      </c>
      <c r="J182" s="77"/>
    </row>
    <row r="183" spans="1:10" hidden="1" outlineLevel="3" x14ac:dyDescent="0.35">
      <c r="A183" s="78">
        <v>5</v>
      </c>
      <c r="B183" s="78" t="s">
        <v>385</v>
      </c>
      <c r="C183" s="78" t="s">
        <v>561</v>
      </c>
      <c r="D183" s="79" t="s">
        <v>330</v>
      </c>
      <c r="E183" s="87"/>
      <c r="F183" s="80">
        <f t="shared" si="4"/>
        <v>0</v>
      </c>
      <c r="G183" s="80">
        <f t="shared" si="5"/>
        <v>0</v>
      </c>
      <c r="H183" s="81"/>
      <c r="I183" s="81"/>
      <c r="J183" s="82"/>
    </row>
    <row r="184" spans="1:10" hidden="1" outlineLevel="3" x14ac:dyDescent="0.35">
      <c r="A184" s="78">
        <v>5</v>
      </c>
      <c r="B184" s="78" t="s">
        <v>385</v>
      </c>
      <c r="C184" s="78" t="s">
        <v>562</v>
      </c>
      <c r="D184" s="79" t="s">
        <v>336</v>
      </c>
      <c r="E184" s="87"/>
      <c r="F184" s="80">
        <f t="shared" si="4"/>
        <v>0</v>
      </c>
      <c r="G184" s="80">
        <f t="shared" si="5"/>
        <v>0</v>
      </c>
      <c r="H184" s="81"/>
      <c r="I184" s="81"/>
      <c r="J184" s="82"/>
    </row>
    <row r="185" spans="1:10" hidden="1" outlineLevel="3" x14ac:dyDescent="0.35">
      <c r="A185" s="78">
        <v>5</v>
      </c>
      <c r="B185" s="78" t="s">
        <v>385</v>
      </c>
      <c r="C185" s="78" t="s">
        <v>563</v>
      </c>
      <c r="D185" s="79"/>
      <c r="E185" s="87"/>
      <c r="F185" s="80">
        <f t="shared" si="4"/>
        <v>0</v>
      </c>
      <c r="G185" s="80">
        <f t="shared" si="5"/>
        <v>0</v>
      </c>
      <c r="H185" s="81"/>
      <c r="I185" s="81"/>
      <c r="J185" s="82"/>
    </row>
    <row r="186" spans="1:10" hidden="1" outlineLevel="3" x14ac:dyDescent="0.35">
      <c r="A186" s="78">
        <v>5</v>
      </c>
      <c r="B186" s="78" t="s">
        <v>385</v>
      </c>
      <c r="C186" s="78" t="s">
        <v>564</v>
      </c>
      <c r="D186" s="79"/>
      <c r="E186" s="87"/>
      <c r="F186" s="80">
        <f t="shared" si="4"/>
        <v>0</v>
      </c>
      <c r="G186" s="80">
        <f t="shared" si="5"/>
        <v>0</v>
      </c>
      <c r="H186" s="81"/>
      <c r="I186" s="81"/>
      <c r="J186" s="82"/>
    </row>
    <row r="187" spans="1:10" hidden="1" outlineLevel="3" x14ac:dyDescent="0.35">
      <c r="A187" s="78">
        <v>5</v>
      </c>
      <c r="B187" s="78" t="s">
        <v>385</v>
      </c>
      <c r="C187" s="78" t="s">
        <v>565</v>
      </c>
      <c r="D187" s="79"/>
      <c r="E187" s="87"/>
      <c r="F187" s="80">
        <f t="shared" si="4"/>
        <v>0</v>
      </c>
      <c r="G187" s="80">
        <f t="shared" si="5"/>
        <v>0</v>
      </c>
      <c r="H187" s="81"/>
      <c r="I187" s="81"/>
      <c r="J187" s="82"/>
    </row>
    <row r="188" spans="1:10" hidden="1" outlineLevel="3" x14ac:dyDescent="0.35">
      <c r="A188" s="78">
        <v>5</v>
      </c>
      <c r="B188" s="78" t="s">
        <v>385</v>
      </c>
      <c r="C188" s="78" t="s">
        <v>566</v>
      </c>
      <c r="D188" s="79"/>
      <c r="E188" s="87"/>
      <c r="F188" s="80">
        <f t="shared" si="4"/>
        <v>0</v>
      </c>
      <c r="G188" s="80">
        <f t="shared" si="5"/>
        <v>0</v>
      </c>
      <c r="H188" s="81"/>
      <c r="I188" s="81"/>
      <c r="J188" s="82"/>
    </row>
    <row r="189" spans="1:10" hidden="1" outlineLevel="3" x14ac:dyDescent="0.35">
      <c r="A189" s="78">
        <v>5</v>
      </c>
      <c r="B189" s="78" t="s">
        <v>385</v>
      </c>
      <c r="C189" s="78" t="s">
        <v>567</v>
      </c>
      <c r="D189" s="79"/>
      <c r="E189" s="87"/>
      <c r="F189" s="80">
        <f t="shared" si="4"/>
        <v>0</v>
      </c>
      <c r="G189" s="80">
        <f t="shared" si="5"/>
        <v>0</v>
      </c>
      <c r="H189" s="81"/>
      <c r="I189" s="81"/>
      <c r="J189" s="82"/>
    </row>
    <row r="190" spans="1:10" hidden="1" outlineLevel="3" x14ac:dyDescent="0.35">
      <c r="A190" s="78">
        <v>5</v>
      </c>
      <c r="B190" s="78" t="s">
        <v>385</v>
      </c>
      <c r="C190" s="78" t="s">
        <v>568</v>
      </c>
      <c r="D190" s="79"/>
      <c r="E190" s="87"/>
      <c r="F190" s="80">
        <f t="shared" si="4"/>
        <v>0</v>
      </c>
      <c r="G190" s="80">
        <f t="shared" si="5"/>
        <v>0</v>
      </c>
      <c r="H190" s="81"/>
      <c r="I190" s="81"/>
      <c r="J190" s="82"/>
    </row>
    <row r="191" spans="1:10" hidden="1" outlineLevel="2" collapsed="1" x14ac:dyDescent="0.35">
      <c r="A191" s="74">
        <v>4</v>
      </c>
      <c r="B191" s="74" t="s">
        <v>392</v>
      </c>
      <c r="C191" s="74" t="s">
        <v>569</v>
      </c>
      <c r="D191" s="75" t="s">
        <v>414</v>
      </c>
      <c r="E191" s="86" t="str">
        <f>IFERROR(SUBTOTAL(1,E192:E199),"")</f>
        <v/>
      </c>
      <c r="F191" s="74">
        <f t="shared" si="4"/>
        <v>0</v>
      </c>
      <c r="G191" s="74">
        <f t="shared" si="5"/>
        <v>0</v>
      </c>
      <c r="H191" s="76">
        <f>MIN(H192:H199)</f>
        <v>0</v>
      </c>
      <c r="I191" s="76">
        <f>MAX(I192:I199)</f>
        <v>0</v>
      </c>
      <c r="J191" s="77"/>
    </row>
    <row r="192" spans="1:10" hidden="1" outlineLevel="3" x14ac:dyDescent="0.35">
      <c r="A192" s="78">
        <v>5</v>
      </c>
      <c r="B192" s="78" t="s">
        <v>385</v>
      </c>
      <c r="C192" s="78" t="s">
        <v>570</v>
      </c>
      <c r="D192" s="79" t="s">
        <v>335</v>
      </c>
      <c r="E192" s="87"/>
      <c r="F192" s="80">
        <f t="shared" si="4"/>
        <v>0</v>
      </c>
      <c r="G192" s="80">
        <f t="shared" si="5"/>
        <v>0</v>
      </c>
      <c r="H192" s="81"/>
      <c r="I192" s="81"/>
      <c r="J192" s="82"/>
    </row>
    <row r="193" spans="1:10" hidden="1" outlineLevel="3" x14ac:dyDescent="0.35">
      <c r="A193" s="78">
        <v>5</v>
      </c>
      <c r="B193" s="78" t="s">
        <v>385</v>
      </c>
      <c r="C193" s="78" t="s">
        <v>571</v>
      </c>
      <c r="D193" s="79"/>
      <c r="E193" s="87"/>
      <c r="F193" s="80">
        <f t="shared" si="4"/>
        <v>0</v>
      </c>
      <c r="G193" s="80">
        <f t="shared" si="5"/>
        <v>0</v>
      </c>
      <c r="H193" s="81"/>
      <c r="I193" s="81"/>
      <c r="J193" s="82"/>
    </row>
    <row r="194" spans="1:10" hidden="1" outlineLevel="3" x14ac:dyDescent="0.35">
      <c r="A194" s="78">
        <v>5</v>
      </c>
      <c r="B194" s="78" t="s">
        <v>385</v>
      </c>
      <c r="C194" s="78" t="s">
        <v>572</v>
      </c>
      <c r="D194" s="79"/>
      <c r="E194" s="87"/>
      <c r="F194" s="80">
        <f t="shared" si="4"/>
        <v>0</v>
      </c>
      <c r="G194" s="80">
        <f t="shared" si="5"/>
        <v>0</v>
      </c>
      <c r="H194" s="81"/>
      <c r="I194" s="81"/>
      <c r="J194" s="82"/>
    </row>
    <row r="195" spans="1:10" hidden="1" outlineLevel="3" x14ac:dyDescent="0.35">
      <c r="A195" s="78">
        <v>5</v>
      </c>
      <c r="B195" s="78" t="s">
        <v>385</v>
      </c>
      <c r="C195" s="78" t="s">
        <v>573</v>
      </c>
      <c r="D195" s="79"/>
      <c r="E195" s="87"/>
      <c r="F195" s="80">
        <f t="shared" si="4"/>
        <v>0</v>
      </c>
      <c r="G195" s="80">
        <f t="shared" si="5"/>
        <v>0</v>
      </c>
      <c r="H195" s="81"/>
      <c r="I195" s="81"/>
      <c r="J195" s="82"/>
    </row>
    <row r="196" spans="1:10" hidden="1" outlineLevel="3" x14ac:dyDescent="0.35">
      <c r="A196" s="78">
        <v>5</v>
      </c>
      <c r="B196" s="78" t="s">
        <v>385</v>
      </c>
      <c r="C196" s="78" t="s">
        <v>574</v>
      </c>
      <c r="D196" s="79"/>
      <c r="E196" s="87"/>
      <c r="F196" s="80">
        <f t="shared" si="4"/>
        <v>0</v>
      </c>
      <c r="G196" s="80">
        <f t="shared" si="5"/>
        <v>0</v>
      </c>
      <c r="H196" s="81"/>
      <c r="I196" s="81"/>
      <c r="J196" s="82"/>
    </row>
    <row r="197" spans="1:10" hidden="1" outlineLevel="3" x14ac:dyDescent="0.35">
      <c r="A197" s="78">
        <v>5</v>
      </c>
      <c r="B197" s="78" t="s">
        <v>385</v>
      </c>
      <c r="C197" s="78" t="s">
        <v>575</v>
      </c>
      <c r="D197" s="79"/>
      <c r="E197" s="87"/>
      <c r="F197" s="80">
        <f t="shared" si="4"/>
        <v>0</v>
      </c>
      <c r="G197" s="80">
        <f t="shared" si="5"/>
        <v>0</v>
      </c>
      <c r="H197" s="81"/>
      <c r="I197" s="81"/>
      <c r="J197" s="82"/>
    </row>
    <row r="198" spans="1:10" hidden="1" outlineLevel="3" x14ac:dyDescent="0.35">
      <c r="A198" s="78">
        <v>5</v>
      </c>
      <c r="B198" s="78" t="s">
        <v>385</v>
      </c>
      <c r="C198" s="78" t="s">
        <v>576</v>
      </c>
      <c r="D198" s="79"/>
      <c r="E198" s="87"/>
      <c r="F198" s="80">
        <f t="shared" ref="F198:F261" si="6">IFERROR(DATEDIF(H198,I198,"D"),0)</f>
        <v>0</v>
      </c>
      <c r="G198" s="80">
        <f t="shared" ref="G198:G261" si="7">IFERROR(NETWORKDAYS.INTL(H198,I198),0)</f>
        <v>0</v>
      </c>
      <c r="H198" s="81"/>
      <c r="I198" s="81"/>
      <c r="J198" s="82"/>
    </row>
    <row r="199" spans="1:10" hidden="1" outlineLevel="3" x14ac:dyDescent="0.35">
      <c r="A199" s="78">
        <v>5</v>
      </c>
      <c r="B199" s="78" t="s">
        <v>385</v>
      </c>
      <c r="C199" s="78" t="s">
        <v>577</v>
      </c>
      <c r="D199" s="79"/>
      <c r="E199" s="87"/>
      <c r="F199" s="80">
        <f t="shared" si="6"/>
        <v>0</v>
      </c>
      <c r="G199" s="80">
        <f t="shared" si="7"/>
        <v>0</v>
      </c>
      <c r="H199" s="81"/>
      <c r="I199" s="81"/>
      <c r="J199" s="82"/>
    </row>
    <row r="200" spans="1:10" hidden="1" outlineLevel="2" collapsed="1" x14ac:dyDescent="0.35">
      <c r="A200" s="74">
        <v>4</v>
      </c>
      <c r="B200" s="74" t="s">
        <v>392</v>
      </c>
      <c r="C200" s="74" t="s">
        <v>578</v>
      </c>
      <c r="D200" s="75" t="s">
        <v>424</v>
      </c>
      <c r="E200" s="86" t="str">
        <f>IFERROR(SUBTOTAL(1,E201:E208),"")</f>
        <v/>
      </c>
      <c r="F200" s="74">
        <f t="shared" si="6"/>
        <v>0</v>
      </c>
      <c r="G200" s="74">
        <f t="shared" si="7"/>
        <v>0</v>
      </c>
      <c r="H200" s="76">
        <f>MIN(H201:H208)</f>
        <v>0</v>
      </c>
      <c r="I200" s="76">
        <f>MAX(I201:I208)</f>
        <v>0</v>
      </c>
      <c r="J200" s="77"/>
    </row>
    <row r="201" spans="1:10" hidden="1" outlineLevel="3" x14ac:dyDescent="0.35">
      <c r="A201" s="78">
        <v>5</v>
      </c>
      <c r="B201" s="78" t="s">
        <v>385</v>
      </c>
      <c r="C201" s="78" t="s">
        <v>579</v>
      </c>
      <c r="D201" s="79"/>
      <c r="E201" s="87"/>
      <c r="F201" s="80">
        <f t="shared" si="6"/>
        <v>0</v>
      </c>
      <c r="G201" s="80">
        <f t="shared" si="7"/>
        <v>0</v>
      </c>
      <c r="H201" s="81"/>
      <c r="I201" s="81"/>
      <c r="J201" s="82"/>
    </row>
    <row r="202" spans="1:10" hidden="1" outlineLevel="3" x14ac:dyDescent="0.35">
      <c r="A202" s="78">
        <v>5</v>
      </c>
      <c r="B202" s="78" t="s">
        <v>385</v>
      </c>
      <c r="C202" s="78" t="s">
        <v>580</v>
      </c>
      <c r="D202" s="79"/>
      <c r="E202" s="87"/>
      <c r="F202" s="80">
        <f t="shared" si="6"/>
        <v>0</v>
      </c>
      <c r="G202" s="80">
        <f t="shared" si="7"/>
        <v>0</v>
      </c>
      <c r="H202" s="81"/>
      <c r="I202" s="81"/>
      <c r="J202" s="82"/>
    </row>
    <row r="203" spans="1:10" hidden="1" outlineLevel="3" x14ac:dyDescent="0.35">
      <c r="A203" s="78">
        <v>5</v>
      </c>
      <c r="B203" s="78" t="s">
        <v>385</v>
      </c>
      <c r="C203" s="78" t="s">
        <v>581</v>
      </c>
      <c r="D203" s="79"/>
      <c r="E203" s="87"/>
      <c r="F203" s="80">
        <f t="shared" si="6"/>
        <v>0</v>
      </c>
      <c r="G203" s="80">
        <f t="shared" si="7"/>
        <v>0</v>
      </c>
      <c r="H203" s="81"/>
      <c r="I203" s="81"/>
      <c r="J203" s="82"/>
    </row>
    <row r="204" spans="1:10" hidden="1" outlineLevel="3" x14ac:dyDescent="0.35">
      <c r="A204" s="78">
        <v>5</v>
      </c>
      <c r="B204" s="78" t="s">
        <v>385</v>
      </c>
      <c r="C204" s="78" t="s">
        <v>582</v>
      </c>
      <c r="D204" s="79"/>
      <c r="E204" s="87"/>
      <c r="F204" s="80">
        <f t="shared" si="6"/>
        <v>0</v>
      </c>
      <c r="G204" s="80">
        <f t="shared" si="7"/>
        <v>0</v>
      </c>
      <c r="H204" s="81"/>
      <c r="I204" s="81"/>
      <c r="J204" s="82"/>
    </row>
    <row r="205" spans="1:10" hidden="1" outlineLevel="3" x14ac:dyDescent="0.35">
      <c r="A205" s="78">
        <v>5</v>
      </c>
      <c r="B205" s="78" t="s">
        <v>385</v>
      </c>
      <c r="C205" s="78" t="s">
        <v>583</v>
      </c>
      <c r="D205" s="79"/>
      <c r="E205" s="87"/>
      <c r="F205" s="80">
        <f t="shared" si="6"/>
        <v>0</v>
      </c>
      <c r="G205" s="80">
        <f t="shared" si="7"/>
        <v>0</v>
      </c>
      <c r="H205" s="81"/>
      <c r="I205" s="81"/>
      <c r="J205" s="82"/>
    </row>
    <row r="206" spans="1:10" hidden="1" outlineLevel="3" x14ac:dyDescent="0.35">
      <c r="A206" s="78">
        <v>5</v>
      </c>
      <c r="B206" s="78" t="s">
        <v>385</v>
      </c>
      <c r="C206" s="78" t="s">
        <v>584</v>
      </c>
      <c r="D206" s="79"/>
      <c r="E206" s="87"/>
      <c r="F206" s="80">
        <f t="shared" si="6"/>
        <v>0</v>
      </c>
      <c r="G206" s="80">
        <f t="shared" si="7"/>
        <v>0</v>
      </c>
      <c r="H206" s="81"/>
      <c r="I206" s="81"/>
      <c r="J206" s="82"/>
    </row>
    <row r="207" spans="1:10" hidden="1" outlineLevel="3" x14ac:dyDescent="0.35">
      <c r="A207" s="78">
        <v>5</v>
      </c>
      <c r="B207" s="78" t="s">
        <v>385</v>
      </c>
      <c r="C207" s="78" t="s">
        <v>585</v>
      </c>
      <c r="D207" s="79"/>
      <c r="E207" s="87"/>
      <c r="F207" s="80">
        <f t="shared" si="6"/>
        <v>0</v>
      </c>
      <c r="G207" s="80">
        <f t="shared" si="7"/>
        <v>0</v>
      </c>
      <c r="H207" s="81"/>
      <c r="I207" s="81"/>
      <c r="J207" s="82"/>
    </row>
    <row r="208" spans="1:10" hidden="1" outlineLevel="3" x14ac:dyDescent="0.35">
      <c r="A208" s="78">
        <v>5</v>
      </c>
      <c r="B208" s="78" t="s">
        <v>385</v>
      </c>
      <c r="C208" s="78" t="s">
        <v>586</v>
      </c>
      <c r="D208" s="79"/>
      <c r="E208" s="87"/>
      <c r="F208" s="80">
        <f t="shared" si="6"/>
        <v>0</v>
      </c>
      <c r="G208" s="80">
        <f t="shared" si="7"/>
        <v>0</v>
      </c>
      <c r="H208" s="81"/>
      <c r="I208" s="81"/>
      <c r="J208" s="82"/>
    </row>
    <row r="209" spans="1:10" hidden="1" outlineLevel="2" collapsed="1" x14ac:dyDescent="0.35">
      <c r="A209" s="74">
        <v>4</v>
      </c>
      <c r="B209" s="74" t="s">
        <v>392</v>
      </c>
      <c r="C209" s="74" t="s">
        <v>587</v>
      </c>
      <c r="D209" s="75" t="s">
        <v>434</v>
      </c>
      <c r="E209" s="86" t="str">
        <f>IFERROR(SUBTOTAL(1,E210:E217),"")</f>
        <v/>
      </c>
      <c r="F209" s="74">
        <f t="shared" si="6"/>
        <v>0</v>
      </c>
      <c r="G209" s="74">
        <f t="shared" si="7"/>
        <v>0</v>
      </c>
      <c r="H209" s="76">
        <f>MIN(H210:H217)</f>
        <v>0</v>
      </c>
      <c r="I209" s="76">
        <f>MAX(I210:I217)</f>
        <v>0</v>
      </c>
      <c r="J209" s="77"/>
    </row>
    <row r="210" spans="1:10" hidden="1" outlineLevel="3" x14ac:dyDescent="0.35">
      <c r="A210" s="78">
        <v>5</v>
      </c>
      <c r="B210" s="78" t="s">
        <v>385</v>
      </c>
      <c r="C210" s="78" t="s">
        <v>588</v>
      </c>
      <c r="D210" s="79" t="s">
        <v>329</v>
      </c>
      <c r="E210" s="87"/>
      <c r="F210" s="80">
        <f t="shared" si="6"/>
        <v>0</v>
      </c>
      <c r="G210" s="80">
        <f t="shared" si="7"/>
        <v>0</v>
      </c>
      <c r="H210" s="81"/>
      <c r="I210" s="81"/>
      <c r="J210" s="82"/>
    </row>
    <row r="211" spans="1:10" hidden="1" outlineLevel="3" x14ac:dyDescent="0.35">
      <c r="A211" s="78">
        <v>5</v>
      </c>
      <c r="B211" s="78" t="s">
        <v>385</v>
      </c>
      <c r="C211" s="78" t="s">
        <v>589</v>
      </c>
      <c r="D211" s="79" t="s">
        <v>331</v>
      </c>
      <c r="E211" s="87"/>
      <c r="F211" s="80">
        <f t="shared" si="6"/>
        <v>0</v>
      </c>
      <c r="G211" s="80">
        <f t="shared" si="7"/>
        <v>0</v>
      </c>
      <c r="H211" s="81"/>
      <c r="I211" s="81"/>
      <c r="J211" s="82"/>
    </row>
    <row r="212" spans="1:10" hidden="1" outlineLevel="3" x14ac:dyDescent="0.35">
      <c r="A212" s="78">
        <v>5</v>
      </c>
      <c r="B212" s="78" t="s">
        <v>385</v>
      </c>
      <c r="C212" s="78" t="s">
        <v>590</v>
      </c>
      <c r="D212" s="79"/>
      <c r="E212" s="87"/>
      <c r="F212" s="80">
        <f t="shared" si="6"/>
        <v>0</v>
      </c>
      <c r="G212" s="80">
        <f t="shared" si="7"/>
        <v>0</v>
      </c>
      <c r="H212" s="81"/>
      <c r="I212" s="81"/>
      <c r="J212" s="82"/>
    </row>
    <row r="213" spans="1:10" hidden="1" outlineLevel="3" x14ac:dyDescent="0.35">
      <c r="A213" s="78">
        <v>5</v>
      </c>
      <c r="B213" s="78" t="s">
        <v>385</v>
      </c>
      <c r="C213" s="78" t="s">
        <v>591</v>
      </c>
      <c r="D213" s="79"/>
      <c r="E213" s="87"/>
      <c r="F213" s="80">
        <f t="shared" si="6"/>
        <v>0</v>
      </c>
      <c r="G213" s="80">
        <f t="shared" si="7"/>
        <v>0</v>
      </c>
      <c r="H213" s="81"/>
      <c r="I213" s="81"/>
      <c r="J213" s="82"/>
    </row>
    <row r="214" spans="1:10" hidden="1" outlineLevel="3" x14ac:dyDescent="0.35">
      <c r="A214" s="78">
        <v>5</v>
      </c>
      <c r="B214" s="78" t="s">
        <v>385</v>
      </c>
      <c r="C214" s="78" t="s">
        <v>592</v>
      </c>
      <c r="D214" s="79"/>
      <c r="E214" s="87"/>
      <c r="F214" s="80">
        <f t="shared" si="6"/>
        <v>0</v>
      </c>
      <c r="G214" s="80">
        <f t="shared" si="7"/>
        <v>0</v>
      </c>
      <c r="H214" s="81"/>
      <c r="I214" s="81"/>
      <c r="J214" s="82"/>
    </row>
    <row r="215" spans="1:10" hidden="1" outlineLevel="3" x14ac:dyDescent="0.35">
      <c r="A215" s="78">
        <v>5</v>
      </c>
      <c r="B215" s="78" t="s">
        <v>385</v>
      </c>
      <c r="C215" s="78" t="s">
        <v>593</v>
      </c>
      <c r="D215" s="79"/>
      <c r="E215" s="87"/>
      <c r="F215" s="80">
        <f t="shared" si="6"/>
        <v>0</v>
      </c>
      <c r="G215" s="80">
        <f t="shared" si="7"/>
        <v>0</v>
      </c>
      <c r="H215" s="81"/>
      <c r="I215" s="81"/>
      <c r="J215" s="82"/>
    </row>
    <row r="216" spans="1:10" hidden="1" outlineLevel="3" x14ac:dyDescent="0.35">
      <c r="A216" s="78">
        <v>5</v>
      </c>
      <c r="B216" s="78" t="s">
        <v>385</v>
      </c>
      <c r="C216" s="78" t="s">
        <v>594</v>
      </c>
      <c r="D216" s="79"/>
      <c r="E216" s="87"/>
      <c r="F216" s="80">
        <f t="shared" si="6"/>
        <v>0</v>
      </c>
      <c r="G216" s="80">
        <f t="shared" si="7"/>
        <v>0</v>
      </c>
      <c r="H216" s="81"/>
      <c r="I216" s="81"/>
      <c r="J216" s="82"/>
    </row>
    <row r="217" spans="1:10" hidden="1" outlineLevel="3" x14ac:dyDescent="0.35">
      <c r="A217" s="78">
        <v>5</v>
      </c>
      <c r="B217" s="78" t="s">
        <v>385</v>
      </c>
      <c r="C217" s="78" t="s">
        <v>595</v>
      </c>
      <c r="D217" s="79"/>
      <c r="E217" s="87"/>
      <c r="F217" s="80">
        <f t="shared" si="6"/>
        <v>0</v>
      </c>
      <c r="G217" s="80">
        <f t="shared" si="7"/>
        <v>0</v>
      </c>
      <c r="H217" s="81"/>
      <c r="I217" s="81"/>
      <c r="J217" s="82"/>
    </row>
    <row r="218" spans="1:10" hidden="1" outlineLevel="2" collapsed="1" x14ac:dyDescent="0.35">
      <c r="A218" s="74">
        <v>4</v>
      </c>
      <c r="B218" s="74" t="s">
        <v>392</v>
      </c>
      <c r="C218" s="74" t="s">
        <v>596</v>
      </c>
      <c r="D218" s="75" t="s">
        <v>444</v>
      </c>
      <c r="E218" s="86" t="str">
        <f>IFERROR(SUBTOTAL(1,E219:E226),"")</f>
        <v/>
      </c>
      <c r="F218" s="74">
        <f t="shared" si="6"/>
        <v>0</v>
      </c>
      <c r="G218" s="74">
        <f t="shared" si="7"/>
        <v>0</v>
      </c>
      <c r="H218" s="76">
        <f>MIN(H219:H226)</f>
        <v>0</v>
      </c>
      <c r="I218" s="76">
        <f>MAX(I219:I226)</f>
        <v>0</v>
      </c>
      <c r="J218" s="77"/>
    </row>
    <row r="219" spans="1:10" hidden="1" outlineLevel="3" x14ac:dyDescent="0.35">
      <c r="A219" s="78">
        <v>5</v>
      </c>
      <c r="B219" s="78" t="s">
        <v>385</v>
      </c>
      <c r="C219" s="78" t="s">
        <v>1605</v>
      </c>
      <c r="D219" s="79"/>
      <c r="E219" s="87"/>
      <c r="F219" s="80">
        <f t="shared" si="6"/>
        <v>0</v>
      </c>
      <c r="G219" s="80">
        <f t="shared" si="7"/>
        <v>0</v>
      </c>
      <c r="H219" s="81"/>
      <c r="I219" s="81"/>
      <c r="J219" s="82"/>
    </row>
    <row r="220" spans="1:10" hidden="1" outlineLevel="3" x14ac:dyDescent="0.35">
      <c r="A220" s="78">
        <v>5</v>
      </c>
      <c r="B220" s="78" t="s">
        <v>385</v>
      </c>
      <c r="C220" s="78" t="s">
        <v>1606</v>
      </c>
      <c r="D220" s="79"/>
      <c r="E220" s="87"/>
      <c r="F220" s="80">
        <f t="shared" si="6"/>
        <v>0</v>
      </c>
      <c r="G220" s="80">
        <f t="shared" si="7"/>
        <v>0</v>
      </c>
      <c r="H220" s="81"/>
      <c r="I220" s="81"/>
      <c r="J220" s="82"/>
    </row>
    <row r="221" spans="1:10" hidden="1" outlineLevel="3" x14ac:dyDescent="0.35">
      <c r="A221" s="78">
        <v>5</v>
      </c>
      <c r="B221" s="78" t="s">
        <v>385</v>
      </c>
      <c r="C221" s="78" t="s">
        <v>1607</v>
      </c>
      <c r="D221" s="79"/>
      <c r="E221" s="87"/>
      <c r="F221" s="80">
        <f t="shared" si="6"/>
        <v>0</v>
      </c>
      <c r="G221" s="80">
        <f t="shared" si="7"/>
        <v>0</v>
      </c>
      <c r="H221" s="81"/>
      <c r="I221" s="81"/>
      <c r="J221" s="82"/>
    </row>
    <row r="222" spans="1:10" hidden="1" outlineLevel="3" x14ac:dyDescent="0.35">
      <c r="A222" s="78">
        <v>5</v>
      </c>
      <c r="B222" s="78" t="s">
        <v>385</v>
      </c>
      <c r="C222" s="78" t="s">
        <v>1608</v>
      </c>
      <c r="D222" s="79"/>
      <c r="E222" s="87"/>
      <c r="F222" s="80">
        <f t="shared" si="6"/>
        <v>0</v>
      </c>
      <c r="G222" s="80">
        <f t="shared" si="7"/>
        <v>0</v>
      </c>
      <c r="H222" s="81"/>
      <c r="I222" s="81"/>
      <c r="J222" s="82"/>
    </row>
    <row r="223" spans="1:10" hidden="1" outlineLevel="3" x14ac:dyDescent="0.35">
      <c r="A223" s="78">
        <v>5</v>
      </c>
      <c r="B223" s="78" t="s">
        <v>385</v>
      </c>
      <c r="C223" s="78" t="s">
        <v>1609</v>
      </c>
      <c r="D223" s="79"/>
      <c r="E223" s="87"/>
      <c r="F223" s="80">
        <f t="shared" si="6"/>
        <v>0</v>
      </c>
      <c r="G223" s="80">
        <f t="shared" si="7"/>
        <v>0</v>
      </c>
      <c r="H223" s="81"/>
      <c r="I223" s="81"/>
      <c r="J223" s="82"/>
    </row>
    <row r="224" spans="1:10" hidden="1" outlineLevel="3" x14ac:dyDescent="0.35">
      <c r="A224" s="78">
        <v>5</v>
      </c>
      <c r="B224" s="78" t="s">
        <v>385</v>
      </c>
      <c r="C224" s="78" t="s">
        <v>1610</v>
      </c>
      <c r="D224" s="79"/>
      <c r="E224" s="87"/>
      <c r="F224" s="80">
        <f t="shared" si="6"/>
        <v>0</v>
      </c>
      <c r="G224" s="80">
        <f t="shared" si="7"/>
        <v>0</v>
      </c>
      <c r="H224" s="81"/>
      <c r="I224" s="81"/>
      <c r="J224" s="82"/>
    </row>
    <row r="225" spans="1:10" hidden="1" outlineLevel="3" x14ac:dyDescent="0.35">
      <c r="A225" s="78">
        <v>5</v>
      </c>
      <c r="B225" s="78" t="s">
        <v>385</v>
      </c>
      <c r="C225" s="78" t="s">
        <v>1611</v>
      </c>
      <c r="D225" s="79"/>
      <c r="E225" s="87"/>
      <c r="F225" s="80">
        <f t="shared" si="6"/>
        <v>0</v>
      </c>
      <c r="G225" s="80">
        <f t="shared" si="7"/>
        <v>0</v>
      </c>
      <c r="H225" s="81"/>
      <c r="I225" s="81"/>
      <c r="J225" s="82"/>
    </row>
    <row r="226" spans="1:10" hidden="1" outlineLevel="3" x14ac:dyDescent="0.35">
      <c r="A226" s="78">
        <v>5</v>
      </c>
      <c r="B226" s="78" t="s">
        <v>385</v>
      </c>
      <c r="C226" s="78" t="s">
        <v>1612</v>
      </c>
      <c r="D226" s="79"/>
      <c r="E226" s="87"/>
      <c r="F226" s="80">
        <f t="shared" si="6"/>
        <v>0</v>
      </c>
      <c r="G226" s="80">
        <f t="shared" si="7"/>
        <v>0</v>
      </c>
      <c r="H226" s="81"/>
      <c r="I226" s="81"/>
      <c r="J226" s="82"/>
    </row>
    <row r="227" spans="1:10" outlineLevel="1" collapsed="1" x14ac:dyDescent="0.35">
      <c r="A227" s="67">
        <v>3</v>
      </c>
      <c r="B227" s="67" t="s">
        <v>298</v>
      </c>
      <c r="C227" s="67" t="s">
        <v>597</v>
      </c>
      <c r="D227" s="73" t="s">
        <v>598</v>
      </c>
      <c r="E227" s="85" t="str">
        <f>IFERROR(AVERAGE(E228,E237,E246,E255,E264,E273),"")</f>
        <v/>
      </c>
      <c r="F227" s="67">
        <f t="shared" si="6"/>
        <v>0</v>
      </c>
      <c r="G227" s="67">
        <f t="shared" si="7"/>
        <v>0</v>
      </c>
      <c r="H227" s="72">
        <f>MIN(H228,H237,H246,H255,H264,H273)</f>
        <v>0</v>
      </c>
      <c r="I227" s="72">
        <f>MAX(I228,I237,I246,I255,I264,I273)</f>
        <v>0</v>
      </c>
      <c r="J227" s="71"/>
    </row>
    <row r="228" spans="1:10" hidden="1" outlineLevel="2" collapsed="1" x14ac:dyDescent="0.35">
      <c r="A228" s="74">
        <v>4</v>
      </c>
      <c r="B228" s="74" t="s">
        <v>392</v>
      </c>
      <c r="C228" s="74" t="s">
        <v>599</v>
      </c>
      <c r="D228" s="75" t="s">
        <v>394</v>
      </c>
      <c r="E228" s="86" t="str">
        <f>IFERROR(SUBTOTAL(1,E229:E236),"")</f>
        <v/>
      </c>
      <c r="F228" s="74">
        <f t="shared" si="6"/>
        <v>0</v>
      </c>
      <c r="G228" s="74">
        <f t="shared" si="7"/>
        <v>0</v>
      </c>
      <c r="H228" s="76">
        <f>MIN(H229:H236)</f>
        <v>0</v>
      </c>
      <c r="I228" s="76">
        <f>MAX(I229:I236)</f>
        <v>0</v>
      </c>
      <c r="J228" s="77"/>
    </row>
    <row r="229" spans="1:10" hidden="1" outlineLevel="3" x14ac:dyDescent="0.35">
      <c r="A229" s="78">
        <v>5</v>
      </c>
      <c r="B229" s="78" t="s">
        <v>385</v>
      </c>
      <c r="C229" s="78" t="s">
        <v>600</v>
      </c>
      <c r="D229" s="79" t="s">
        <v>328</v>
      </c>
      <c r="E229" s="87"/>
      <c r="F229" s="80">
        <f t="shared" si="6"/>
        <v>0</v>
      </c>
      <c r="G229" s="80">
        <f t="shared" si="7"/>
        <v>0</v>
      </c>
      <c r="H229" s="81"/>
      <c r="I229" s="81"/>
      <c r="J229" s="82"/>
    </row>
    <row r="230" spans="1:10" hidden="1" outlineLevel="3" x14ac:dyDescent="0.35">
      <c r="A230" s="78">
        <v>5</v>
      </c>
      <c r="B230" s="78" t="s">
        <v>385</v>
      </c>
      <c r="C230" s="78" t="s">
        <v>601</v>
      </c>
      <c r="D230" s="79" t="s">
        <v>332</v>
      </c>
      <c r="E230" s="87"/>
      <c r="F230" s="80">
        <f t="shared" si="6"/>
        <v>0</v>
      </c>
      <c r="G230" s="80">
        <f t="shared" si="7"/>
        <v>0</v>
      </c>
      <c r="H230" s="81"/>
      <c r="I230" s="81"/>
      <c r="J230" s="82"/>
    </row>
    <row r="231" spans="1:10" hidden="1" outlineLevel="3" x14ac:dyDescent="0.35">
      <c r="A231" s="78">
        <v>5</v>
      </c>
      <c r="B231" s="78" t="s">
        <v>385</v>
      </c>
      <c r="C231" s="78" t="s">
        <v>602</v>
      </c>
      <c r="D231" s="79" t="s">
        <v>334</v>
      </c>
      <c r="E231" s="87"/>
      <c r="F231" s="80">
        <f t="shared" si="6"/>
        <v>0</v>
      </c>
      <c r="G231" s="80">
        <f t="shared" si="7"/>
        <v>0</v>
      </c>
      <c r="H231" s="81"/>
      <c r="I231" s="81"/>
      <c r="J231" s="82"/>
    </row>
    <row r="232" spans="1:10" hidden="1" outlineLevel="3" x14ac:dyDescent="0.35">
      <c r="A232" s="78">
        <v>5</v>
      </c>
      <c r="B232" s="78" t="s">
        <v>385</v>
      </c>
      <c r="C232" s="78" t="s">
        <v>603</v>
      </c>
      <c r="D232" s="79" t="s">
        <v>328</v>
      </c>
      <c r="E232" s="87"/>
      <c r="F232" s="80">
        <f t="shared" si="6"/>
        <v>0</v>
      </c>
      <c r="G232" s="80">
        <f t="shared" si="7"/>
        <v>0</v>
      </c>
      <c r="H232" s="81"/>
      <c r="I232" s="81"/>
      <c r="J232" s="82"/>
    </row>
    <row r="233" spans="1:10" hidden="1" outlineLevel="3" x14ac:dyDescent="0.35">
      <c r="A233" s="78">
        <v>5</v>
      </c>
      <c r="B233" s="78" t="s">
        <v>385</v>
      </c>
      <c r="C233" s="78" t="s">
        <v>604</v>
      </c>
      <c r="D233" s="79" t="s">
        <v>334</v>
      </c>
      <c r="E233" s="87"/>
      <c r="F233" s="80">
        <f t="shared" si="6"/>
        <v>0</v>
      </c>
      <c r="G233" s="80">
        <f t="shared" si="7"/>
        <v>0</v>
      </c>
      <c r="H233" s="81"/>
      <c r="I233" s="81"/>
      <c r="J233" s="82"/>
    </row>
    <row r="234" spans="1:10" hidden="1" outlineLevel="3" x14ac:dyDescent="0.35">
      <c r="A234" s="78">
        <v>5</v>
      </c>
      <c r="B234" s="78" t="s">
        <v>385</v>
      </c>
      <c r="C234" s="78" t="s">
        <v>605</v>
      </c>
      <c r="D234" s="79"/>
      <c r="E234" s="87"/>
      <c r="F234" s="80">
        <f t="shared" si="6"/>
        <v>0</v>
      </c>
      <c r="G234" s="80">
        <f t="shared" si="7"/>
        <v>0</v>
      </c>
      <c r="H234" s="81"/>
      <c r="I234" s="81"/>
      <c r="J234" s="82"/>
    </row>
    <row r="235" spans="1:10" hidden="1" outlineLevel="3" x14ac:dyDescent="0.35">
      <c r="A235" s="78">
        <v>5</v>
      </c>
      <c r="B235" s="78" t="s">
        <v>385</v>
      </c>
      <c r="C235" s="78" t="s">
        <v>606</v>
      </c>
      <c r="D235" s="79"/>
      <c r="E235" s="87"/>
      <c r="F235" s="80">
        <f t="shared" si="6"/>
        <v>0</v>
      </c>
      <c r="G235" s="80">
        <f t="shared" si="7"/>
        <v>0</v>
      </c>
      <c r="H235" s="81"/>
      <c r="I235" s="81"/>
      <c r="J235" s="82"/>
    </row>
    <row r="236" spans="1:10" hidden="1" outlineLevel="3" x14ac:dyDescent="0.35">
      <c r="A236" s="78">
        <v>5</v>
      </c>
      <c r="B236" s="78" t="s">
        <v>385</v>
      </c>
      <c r="C236" s="78" t="s">
        <v>607</v>
      </c>
      <c r="D236" s="79"/>
      <c r="E236" s="87"/>
      <c r="F236" s="80">
        <f t="shared" si="6"/>
        <v>0</v>
      </c>
      <c r="G236" s="80">
        <f t="shared" si="7"/>
        <v>0</v>
      </c>
      <c r="H236" s="81"/>
      <c r="I236" s="81"/>
      <c r="J236" s="82"/>
    </row>
    <row r="237" spans="1:10" hidden="1" outlineLevel="2" collapsed="1" x14ac:dyDescent="0.35">
      <c r="A237" s="74">
        <v>4</v>
      </c>
      <c r="B237" s="74" t="s">
        <v>392</v>
      </c>
      <c r="C237" s="74" t="s">
        <v>608</v>
      </c>
      <c r="D237" s="75" t="s">
        <v>404</v>
      </c>
      <c r="E237" s="86" t="str">
        <f>IFERROR(SUBTOTAL(1,E238:E245),"")</f>
        <v/>
      </c>
      <c r="F237" s="74">
        <f t="shared" si="6"/>
        <v>0</v>
      </c>
      <c r="G237" s="74">
        <f t="shared" si="7"/>
        <v>0</v>
      </c>
      <c r="H237" s="76">
        <f>MIN(H238:H245)</f>
        <v>0</v>
      </c>
      <c r="I237" s="76">
        <f>MAX(I238:I245)</f>
        <v>0</v>
      </c>
      <c r="J237" s="77"/>
    </row>
    <row r="238" spans="1:10" hidden="1" outlineLevel="3" x14ac:dyDescent="0.35">
      <c r="A238" s="78">
        <v>5</v>
      </c>
      <c r="B238" s="78" t="s">
        <v>385</v>
      </c>
      <c r="C238" s="78" t="s">
        <v>609</v>
      </c>
      <c r="D238" s="79" t="s">
        <v>330</v>
      </c>
      <c r="E238" s="87"/>
      <c r="F238" s="80">
        <f t="shared" si="6"/>
        <v>0</v>
      </c>
      <c r="G238" s="80">
        <f t="shared" si="7"/>
        <v>0</v>
      </c>
      <c r="H238" s="81"/>
      <c r="I238" s="81"/>
      <c r="J238" s="82"/>
    </row>
    <row r="239" spans="1:10" hidden="1" outlineLevel="3" x14ac:dyDescent="0.35">
      <c r="A239" s="78">
        <v>5</v>
      </c>
      <c r="B239" s="78" t="s">
        <v>385</v>
      </c>
      <c r="C239" s="78" t="s">
        <v>610</v>
      </c>
      <c r="D239" s="79" t="s">
        <v>333</v>
      </c>
      <c r="E239" s="87"/>
      <c r="F239" s="80">
        <f t="shared" si="6"/>
        <v>0</v>
      </c>
      <c r="G239" s="80">
        <f t="shared" si="7"/>
        <v>0</v>
      </c>
      <c r="H239" s="81"/>
      <c r="I239" s="81"/>
      <c r="J239" s="82"/>
    </row>
    <row r="240" spans="1:10" hidden="1" outlineLevel="3" x14ac:dyDescent="0.35">
      <c r="A240" s="78">
        <v>5</v>
      </c>
      <c r="B240" s="78" t="s">
        <v>385</v>
      </c>
      <c r="C240" s="78" t="s">
        <v>611</v>
      </c>
      <c r="D240" s="79" t="s">
        <v>336</v>
      </c>
      <c r="E240" s="87"/>
      <c r="F240" s="80">
        <f t="shared" si="6"/>
        <v>0</v>
      </c>
      <c r="G240" s="80">
        <f t="shared" si="7"/>
        <v>0</v>
      </c>
      <c r="H240" s="81"/>
      <c r="I240" s="81"/>
      <c r="J240" s="82"/>
    </row>
    <row r="241" spans="1:10" hidden="1" outlineLevel="3" x14ac:dyDescent="0.35">
      <c r="A241" s="78">
        <v>5</v>
      </c>
      <c r="B241" s="78" t="s">
        <v>385</v>
      </c>
      <c r="C241" s="78" t="s">
        <v>612</v>
      </c>
      <c r="D241" s="79" t="s">
        <v>330</v>
      </c>
      <c r="E241" s="87"/>
      <c r="F241" s="80">
        <f t="shared" si="6"/>
        <v>0</v>
      </c>
      <c r="G241" s="80">
        <f t="shared" si="7"/>
        <v>0</v>
      </c>
      <c r="H241" s="81"/>
      <c r="I241" s="81"/>
      <c r="J241" s="82"/>
    </row>
    <row r="242" spans="1:10" hidden="1" outlineLevel="3" x14ac:dyDescent="0.35">
      <c r="A242" s="78">
        <v>5</v>
      </c>
      <c r="B242" s="78" t="s">
        <v>385</v>
      </c>
      <c r="C242" s="78" t="s">
        <v>613</v>
      </c>
      <c r="D242" s="79" t="s">
        <v>336</v>
      </c>
      <c r="E242" s="87"/>
      <c r="F242" s="80">
        <f t="shared" si="6"/>
        <v>0</v>
      </c>
      <c r="G242" s="80">
        <f t="shared" si="7"/>
        <v>0</v>
      </c>
      <c r="H242" s="81"/>
      <c r="I242" s="81"/>
      <c r="J242" s="82"/>
    </row>
    <row r="243" spans="1:10" hidden="1" outlineLevel="3" x14ac:dyDescent="0.35">
      <c r="A243" s="78">
        <v>5</v>
      </c>
      <c r="B243" s="78" t="s">
        <v>385</v>
      </c>
      <c r="C243" s="78" t="s">
        <v>614</v>
      </c>
      <c r="D243" s="79"/>
      <c r="E243" s="87"/>
      <c r="F243" s="80">
        <f t="shared" si="6"/>
        <v>0</v>
      </c>
      <c r="G243" s="80">
        <f t="shared" si="7"/>
        <v>0</v>
      </c>
      <c r="H243" s="81"/>
      <c r="I243" s="81"/>
      <c r="J243" s="82"/>
    </row>
    <row r="244" spans="1:10" hidden="1" outlineLevel="3" x14ac:dyDescent="0.35">
      <c r="A244" s="78">
        <v>5</v>
      </c>
      <c r="B244" s="78" t="s">
        <v>385</v>
      </c>
      <c r="C244" s="78" t="s">
        <v>615</v>
      </c>
      <c r="D244" s="79"/>
      <c r="E244" s="87"/>
      <c r="F244" s="80">
        <f t="shared" si="6"/>
        <v>0</v>
      </c>
      <c r="G244" s="80">
        <f t="shared" si="7"/>
        <v>0</v>
      </c>
      <c r="H244" s="81"/>
      <c r="I244" s="81"/>
      <c r="J244" s="82"/>
    </row>
    <row r="245" spans="1:10" hidden="1" outlineLevel="3" x14ac:dyDescent="0.35">
      <c r="A245" s="78">
        <v>5</v>
      </c>
      <c r="B245" s="78" t="s">
        <v>385</v>
      </c>
      <c r="C245" s="78" t="s">
        <v>616</v>
      </c>
      <c r="D245" s="79"/>
      <c r="E245" s="87"/>
      <c r="F245" s="80">
        <f t="shared" si="6"/>
        <v>0</v>
      </c>
      <c r="G245" s="80">
        <f t="shared" si="7"/>
        <v>0</v>
      </c>
      <c r="H245" s="81"/>
      <c r="I245" s="81"/>
      <c r="J245" s="82"/>
    </row>
    <row r="246" spans="1:10" hidden="1" outlineLevel="2" collapsed="1" x14ac:dyDescent="0.35">
      <c r="A246" s="74">
        <v>4</v>
      </c>
      <c r="B246" s="74" t="s">
        <v>392</v>
      </c>
      <c r="C246" s="74" t="s">
        <v>617</v>
      </c>
      <c r="D246" s="75" t="s">
        <v>414</v>
      </c>
      <c r="E246" s="86" t="str">
        <f>IFERROR(SUBTOTAL(1,E247:E254),"")</f>
        <v/>
      </c>
      <c r="F246" s="74">
        <f t="shared" si="6"/>
        <v>0</v>
      </c>
      <c r="G246" s="74">
        <f t="shared" si="7"/>
        <v>0</v>
      </c>
      <c r="H246" s="76">
        <f>MIN(H247:H254)</f>
        <v>0</v>
      </c>
      <c r="I246" s="76">
        <f>MAX(I247:I254)</f>
        <v>0</v>
      </c>
      <c r="J246" s="77"/>
    </row>
    <row r="247" spans="1:10" hidden="1" outlineLevel="3" x14ac:dyDescent="0.35">
      <c r="A247" s="78">
        <v>5</v>
      </c>
      <c r="B247" s="78" t="s">
        <v>385</v>
      </c>
      <c r="C247" s="78" t="s">
        <v>618</v>
      </c>
      <c r="D247" s="79" t="s">
        <v>335</v>
      </c>
      <c r="E247" s="87"/>
      <c r="F247" s="80">
        <f t="shared" si="6"/>
        <v>0</v>
      </c>
      <c r="G247" s="80">
        <f t="shared" si="7"/>
        <v>0</v>
      </c>
      <c r="H247" s="81"/>
      <c r="I247" s="81"/>
      <c r="J247" s="82"/>
    </row>
    <row r="248" spans="1:10" hidden="1" outlineLevel="3" x14ac:dyDescent="0.35">
      <c r="A248" s="78">
        <v>5</v>
      </c>
      <c r="B248" s="78" t="s">
        <v>385</v>
      </c>
      <c r="C248" s="78" t="s">
        <v>619</v>
      </c>
      <c r="D248" s="79" t="s">
        <v>335</v>
      </c>
      <c r="E248" s="87"/>
      <c r="F248" s="80">
        <f t="shared" si="6"/>
        <v>0</v>
      </c>
      <c r="G248" s="80">
        <f t="shared" si="7"/>
        <v>0</v>
      </c>
      <c r="H248" s="81"/>
      <c r="I248" s="81"/>
      <c r="J248" s="82"/>
    </row>
    <row r="249" spans="1:10" hidden="1" outlineLevel="3" x14ac:dyDescent="0.35">
      <c r="A249" s="78">
        <v>5</v>
      </c>
      <c r="B249" s="78" t="s">
        <v>385</v>
      </c>
      <c r="C249" s="78" t="s">
        <v>620</v>
      </c>
      <c r="D249" s="79" t="s">
        <v>337</v>
      </c>
      <c r="E249" s="87"/>
      <c r="F249" s="80">
        <f t="shared" si="6"/>
        <v>0</v>
      </c>
      <c r="G249" s="80">
        <f t="shared" si="7"/>
        <v>0</v>
      </c>
      <c r="H249" s="81"/>
      <c r="I249" s="81"/>
      <c r="J249" s="82"/>
    </row>
    <row r="250" spans="1:10" hidden="1" outlineLevel="3" x14ac:dyDescent="0.35">
      <c r="A250" s="78">
        <v>5</v>
      </c>
      <c r="B250" s="78" t="s">
        <v>385</v>
      </c>
      <c r="C250" s="78" t="s">
        <v>621</v>
      </c>
      <c r="D250" s="79"/>
      <c r="E250" s="87"/>
      <c r="F250" s="80">
        <f t="shared" si="6"/>
        <v>0</v>
      </c>
      <c r="G250" s="80">
        <f t="shared" si="7"/>
        <v>0</v>
      </c>
      <c r="H250" s="81"/>
      <c r="I250" s="81"/>
      <c r="J250" s="82"/>
    </row>
    <row r="251" spans="1:10" hidden="1" outlineLevel="3" x14ac:dyDescent="0.35">
      <c r="A251" s="78">
        <v>5</v>
      </c>
      <c r="B251" s="78" t="s">
        <v>385</v>
      </c>
      <c r="C251" s="78" t="s">
        <v>622</v>
      </c>
      <c r="D251" s="79"/>
      <c r="E251" s="87"/>
      <c r="F251" s="80">
        <f t="shared" si="6"/>
        <v>0</v>
      </c>
      <c r="G251" s="80">
        <f t="shared" si="7"/>
        <v>0</v>
      </c>
      <c r="H251" s="81"/>
      <c r="I251" s="81"/>
      <c r="J251" s="82"/>
    </row>
    <row r="252" spans="1:10" hidden="1" outlineLevel="3" x14ac:dyDescent="0.35">
      <c r="A252" s="78">
        <v>5</v>
      </c>
      <c r="B252" s="78" t="s">
        <v>385</v>
      </c>
      <c r="C252" s="78" t="s">
        <v>623</v>
      </c>
      <c r="D252" s="79"/>
      <c r="E252" s="87"/>
      <c r="F252" s="80">
        <f t="shared" si="6"/>
        <v>0</v>
      </c>
      <c r="G252" s="80">
        <f t="shared" si="7"/>
        <v>0</v>
      </c>
      <c r="H252" s="81"/>
      <c r="I252" s="81"/>
      <c r="J252" s="82"/>
    </row>
    <row r="253" spans="1:10" hidden="1" outlineLevel="3" x14ac:dyDescent="0.35">
      <c r="A253" s="78">
        <v>5</v>
      </c>
      <c r="B253" s="78" t="s">
        <v>385</v>
      </c>
      <c r="C253" s="78" t="s">
        <v>624</v>
      </c>
      <c r="D253" s="79"/>
      <c r="E253" s="87"/>
      <c r="F253" s="80">
        <f t="shared" si="6"/>
        <v>0</v>
      </c>
      <c r="G253" s="80">
        <f t="shared" si="7"/>
        <v>0</v>
      </c>
      <c r="H253" s="81"/>
      <c r="I253" s="81"/>
      <c r="J253" s="82"/>
    </row>
    <row r="254" spans="1:10" hidden="1" outlineLevel="3" x14ac:dyDescent="0.35">
      <c r="A254" s="78">
        <v>5</v>
      </c>
      <c r="B254" s="78" t="s">
        <v>385</v>
      </c>
      <c r="C254" s="78" t="s">
        <v>625</v>
      </c>
      <c r="D254" s="79"/>
      <c r="E254" s="87"/>
      <c r="F254" s="80">
        <f t="shared" si="6"/>
        <v>0</v>
      </c>
      <c r="G254" s="80">
        <f t="shared" si="7"/>
        <v>0</v>
      </c>
      <c r="H254" s="81"/>
      <c r="I254" s="81"/>
      <c r="J254" s="82"/>
    </row>
    <row r="255" spans="1:10" hidden="1" outlineLevel="2" collapsed="1" x14ac:dyDescent="0.35">
      <c r="A255" s="74">
        <v>4</v>
      </c>
      <c r="B255" s="74" t="s">
        <v>392</v>
      </c>
      <c r="C255" s="74" t="s">
        <v>626</v>
      </c>
      <c r="D255" s="75" t="s">
        <v>424</v>
      </c>
      <c r="E255" s="86" t="str">
        <f>IFERROR(SUBTOTAL(1,E256:E263),"")</f>
        <v/>
      </c>
      <c r="F255" s="74">
        <f t="shared" si="6"/>
        <v>0</v>
      </c>
      <c r="G255" s="74">
        <f t="shared" si="7"/>
        <v>0</v>
      </c>
      <c r="H255" s="76">
        <f>MIN(H256:H263)</f>
        <v>0</v>
      </c>
      <c r="I255" s="76">
        <f>MAX(I256:I263)</f>
        <v>0</v>
      </c>
      <c r="J255" s="77"/>
    </row>
    <row r="256" spans="1:10" hidden="1" outlineLevel="3" x14ac:dyDescent="0.35">
      <c r="A256" s="78">
        <v>5</v>
      </c>
      <c r="B256" s="78" t="s">
        <v>385</v>
      </c>
      <c r="C256" s="78" t="s">
        <v>627</v>
      </c>
      <c r="D256" s="79"/>
      <c r="E256" s="87"/>
      <c r="F256" s="80">
        <f t="shared" si="6"/>
        <v>0</v>
      </c>
      <c r="G256" s="80">
        <f t="shared" si="7"/>
        <v>0</v>
      </c>
      <c r="H256" s="81"/>
      <c r="I256" s="81"/>
      <c r="J256" s="82"/>
    </row>
    <row r="257" spans="1:10" hidden="1" outlineLevel="3" x14ac:dyDescent="0.35">
      <c r="A257" s="78">
        <v>5</v>
      </c>
      <c r="B257" s="78" t="s">
        <v>385</v>
      </c>
      <c r="C257" s="78" t="s">
        <v>628</v>
      </c>
      <c r="D257" s="79"/>
      <c r="E257" s="87"/>
      <c r="F257" s="80">
        <f t="shared" si="6"/>
        <v>0</v>
      </c>
      <c r="G257" s="80">
        <f t="shared" si="7"/>
        <v>0</v>
      </c>
      <c r="H257" s="81"/>
      <c r="I257" s="81"/>
      <c r="J257" s="82"/>
    </row>
    <row r="258" spans="1:10" hidden="1" outlineLevel="3" x14ac:dyDescent="0.35">
      <c r="A258" s="78">
        <v>5</v>
      </c>
      <c r="B258" s="78" t="s">
        <v>385</v>
      </c>
      <c r="C258" s="78" t="s">
        <v>629</v>
      </c>
      <c r="D258" s="79"/>
      <c r="E258" s="87"/>
      <c r="F258" s="80">
        <f t="shared" si="6"/>
        <v>0</v>
      </c>
      <c r="G258" s="80">
        <f t="shared" si="7"/>
        <v>0</v>
      </c>
      <c r="H258" s="81"/>
      <c r="I258" s="81"/>
      <c r="J258" s="82"/>
    </row>
    <row r="259" spans="1:10" hidden="1" outlineLevel="3" x14ac:dyDescent="0.35">
      <c r="A259" s="78">
        <v>5</v>
      </c>
      <c r="B259" s="78" t="s">
        <v>385</v>
      </c>
      <c r="C259" s="78" t="s">
        <v>630</v>
      </c>
      <c r="D259" s="79"/>
      <c r="E259" s="87"/>
      <c r="F259" s="80">
        <f t="shared" si="6"/>
        <v>0</v>
      </c>
      <c r="G259" s="80">
        <f t="shared" si="7"/>
        <v>0</v>
      </c>
      <c r="H259" s="81"/>
      <c r="I259" s="81"/>
      <c r="J259" s="82"/>
    </row>
    <row r="260" spans="1:10" hidden="1" outlineLevel="3" x14ac:dyDescent="0.35">
      <c r="A260" s="78">
        <v>5</v>
      </c>
      <c r="B260" s="78" t="s">
        <v>385</v>
      </c>
      <c r="C260" s="78" t="s">
        <v>631</v>
      </c>
      <c r="D260" s="79"/>
      <c r="E260" s="87"/>
      <c r="F260" s="80">
        <f t="shared" si="6"/>
        <v>0</v>
      </c>
      <c r="G260" s="80">
        <f t="shared" si="7"/>
        <v>0</v>
      </c>
      <c r="H260" s="81"/>
      <c r="I260" s="81"/>
      <c r="J260" s="82"/>
    </row>
    <row r="261" spans="1:10" hidden="1" outlineLevel="3" x14ac:dyDescent="0.35">
      <c r="A261" s="78">
        <v>5</v>
      </c>
      <c r="B261" s="78" t="s">
        <v>385</v>
      </c>
      <c r="C261" s="78" t="s">
        <v>632</v>
      </c>
      <c r="D261" s="79"/>
      <c r="E261" s="87"/>
      <c r="F261" s="80">
        <f t="shared" si="6"/>
        <v>0</v>
      </c>
      <c r="G261" s="80">
        <f t="shared" si="7"/>
        <v>0</v>
      </c>
      <c r="H261" s="81"/>
      <c r="I261" s="81"/>
      <c r="J261" s="82"/>
    </row>
    <row r="262" spans="1:10" hidden="1" outlineLevel="3" x14ac:dyDescent="0.35">
      <c r="A262" s="78">
        <v>5</v>
      </c>
      <c r="B262" s="78" t="s">
        <v>385</v>
      </c>
      <c r="C262" s="78" t="s">
        <v>633</v>
      </c>
      <c r="D262" s="79"/>
      <c r="E262" s="87"/>
      <c r="F262" s="80">
        <f t="shared" ref="F262:F325" si="8">IFERROR(DATEDIF(H262,I262,"D"),0)</f>
        <v>0</v>
      </c>
      <c r="G262" s="80">
        <f t="shared" ref="G262:G325" si="9">IFERROR(NETWORKDAYS.INTL(H262,I262),0)</f>
        <v>0</v>
      </c>
      <c r="H262" s="81"/>
      <c r="I262" s="81"/>
      <c r="J262" s="82"/>
    </row>
    <row r="263" spans="1:10" hidden="1" outlineLevel="3" x14ac:dyDescent="0.35">
      <c r="A263" s="78">
        <v>5</v>
      </c>
      <c r="B263" s="78" t="s">
        <v>385</v>
      </c>
      <c r="C263" s="78" t="s">
        <v>634</v>
      </c>
      <c r="D263" s="79"/>
      <c r="E263" s="87"/>
      <c r="F263" s="80">
        <f t="shared" si="8"/>
        <v>0</v>
      </c>
      <c r="G263" s="80">
        <f t="shared" si="9"/>
        <v>0</v>
      </c>
      <c r="H263" s="81"/>
      <c r="I263" s="81"/>
      <c r="J263" s="82"/>
    </row>
    <row r="264" spans="1:10" hidden="1" outlineLevel="2" collapsed="1" x14ac:dyDescent="0.35">
      <c r="A264" s="74">
        <v>4</v>
      </c>
      <c r="B264" s="74" t="s">
        <v>392</v>
      </c>
      <c r="C264" s="74" t="s">
        <v>635</v>
      </c>
      <c r="D264" s="75" t="s">
        <v>434</v>
      </c>
      <c r="E264" s="86" t="str">
        <f>IFERROR(SUBTOTAL(1,E265:E272),"")</f>
        <v/>
      </c>
      <c r="F264" s="74">
        <f t="shared" si="8"/>
        <v>0</v>
      </c>
      <c r="G264" s="74">
        <f t="shared" si="9"/>
        <v>0</v>
      </c>
      <c r="H264" s="76">
        <f>MIN(H265:H272)</f>
        <v>0</v>
      </c>
      <c r="I264" s="76">
        <f>MAX(I265:I272)</f>
        <v>0</v>
      </c>
      <c r="J264" s="77"/>
    </row>
    <row r="265" spans="1:10" hidden="1" outlineLevel="3" x14ac:dyDescent="0.35">
      <c r="A265" s="78">
        <v>5</v>
      </c>
      <c r="B265" s="78" t="s">
        <v>385</v>
      </c>
      <c r="C265" s="78" t="s">
        <v>636</v>
      </c>
      <c r="D265" s="79" t="s">
        <v>329</v>
      </c>
      <c r="E265" s="87"/>
      <c r="F265" s="80">
        <f t="shared" si="8"/>
        <v>0</v>
      </c>
      <c r="G265" s="80">
        <f t="shared" si="9"/>
        <v>0</v>
      </c>
      <c r="H265" s="81"/>
      <c r="I265" s="81"/>
      <c r="J265" s="82"/>
    </row>
    <row r="266" spans="1:10" hidden="1" outlineLevel="3" x14ac:dyDescent="0.35">
      <c r="A266" s="78">
        <v>5</v>
      </c>
      <c r="B266" s="78" t="s">
        <v>385</v>
      </c>
      <c r="C266" s="78" t="s">
        <v>637</v>
      </c>
      <c r="D266" s="79" t="s">
        <v>331</v>
      </c>
      <c r="E266" s="87"/>
      <c r="F266" s="80">
        <f t="shared" si="8"/>
        <v>0</v>
      </c>
      <c r="G266" s="80">
        <f t="shared" si="9"/>
        <v>0</v>
      </c>
      <c r="H266" s="81"/>
      <c r="I266" s="81"/>
      <c r="J266" s="82"/>
    </row>
    <row r="267" spans="1:10" hidden="1" outlineLevel="3" x14ac:dyDescent="0.35">
      <c r="A267" s="78">
        <v>5</v>
      </c>
      <c r="B267" s="78" t="s">
        <v>385</v>
      </c>
      <c r="C267" s="78" t="s">
        <v>638</v>
      </c>
      <c r="D267" s="79" t="s">
        <v>329</v>
      </c>
      <c r="E267" s="87"/>
      <c r="F267" s="80">
        <f t="shared" si="8"/>
        <v>0</v>
      </c>
      <c r="G267" s="80">
        <f t="shared" si="9"/>
        <v>0</v>
      </c>
      <c r="H267" s="81"/>
      <c r="I267" s="81"/>
      <c r="J267" s="82"/>
    </row>
    <row r="268" spans="1:10" hidden="1" outlineLevel="3" x14ac:dyDescent="0.35">
      <c r="A268" s="78">
        <v>5</v>
      </c>
      <c r="B268" s="78" t="s">
        <v>385</v>
      </c>
      <c r="C268" s="78" t="s">
        <v>639</v>
      </c>
      <c r="D268" s="79" t="s">
        <v>331</v>
      </c>
      <c r="E268" s="87"/>
      <c r="F268" s="80">
        <f t="shared" si="8"/>
        <v>0</v>
      </c>
      <c r="G268" s="80">
        <f t="shared" si="9"/>
        <v>0</v>
      </c>
      <c r="H268" s="81"/>
      <c r="I268" s="81"/>
      <c r="J268" s="82"/>
    </row>
    <row r="269" spans="1:10" hidden="1" outlineLevel="3" x14ac:dyDescent="0.35">
      <c r="A269" s="78">
        <v>5</v>
      </c>
      <c r="B269" s="78" t="s">
        <v>385</v>
      </c>
      <c r="C269" s="78" t="s">
        <v>640</v>
      </c>
      <c r="D269" s="79"/>
      <c r="E269" s="87"/>
      <c r="F269" s="80">
        <f t="shared" si="8"/>
        <v>0</v>
      </c>
      <c r="G269" s="80">
        <f t="shared" si="9"/>
        <v>0</v>
      </c>
      <c r="H269" s="81"/>
      <c r="I269" s="81"/>
      <c r="J269" s="82"/>
    </row>
    <row r="270" spans="1:10" hidden="1" outlineLevel="3" x14ac:dyDescent="0.35">
      <c r="A270" s="78">
        <v>5</v>
      </c>
      <c r="B270" s="78" t="s">
        <v>385</v>
      </c>
      <c r="C270" s="78" t="s">
        <v>641</v>
      </c>
      <c r="D270" s="79"/>
      <c r="E270" s="87"/>
      <c r="F270" s="80">
        <f t="shared" si="8"/>
        <v>0</v>
      </c>
      <c r="G270" s="80">
        <f t="shared" si="9"/>
        <v>0</v>
      </c>
      <c r="H270" s="81"/>
      <c r="I270" s="81"/>
      <c r="J270" s="82"/>
    </row>
    <row r="271" spans="1:10" hidden="1" outlineLevel="3" x14ac:dyDescent="0.35">
      <c r="A271" s="78">
        <v>5</v>
      </c>
      <c r="B271" s="78" t="s">
        <v>385</v>
      </c>
      <c r="C271" s="78" t="s">
        <v>642</v>
      </c>
      <c r="D271" s="79"/>
      <c r="E271" s="87"/>
      <c r="F271" s="80">
        <f t="shared" si="8"/>
        <v>0</v>
      </c>
      <c r="G271" s="80">
        <f t="shared" si="9"/>
        <v>0</v>
      </c>
      <c r="H271" s="81"/>
      <c r="I271" s="81"/>
      <c r="J271" s="82"/>
    </row>
    <row r="272" spans="1:10" hidden="1" outlineLevel="3" x14ac:dyDescent="0.35">
      <c r="A272" s="78">
        <v>5</v>
      </c>
      <c r="B272" s="78" t="s">
        <v>385</v>
      </c>
      <c r="C272" s="78" t="s">
        <v>643</v>
      </c>
      <c r="D272" s="79"/>
      <c r="E272" s="87"/>
      <c r="F272" s="80">
        <f t="shared" si="8"/>
        <v>0</v>
      </c>
      <c r="G272" s="80">
        <f t="shared" si="9"/>
        <v>0</v>
      </c>
      <c r="H272" s="81"/>
      <c r="I272" s="81"/>
      <c r="J272" s="82"/>
    </row>
    <row r="273" spans="1:10" hidden="1" outlineLevel="2" collapsed="1" x14ac:dyDescent="0.35">
      <c r="A273" s="74">
        <v>4</v>
      </c>
      <c r="B273" s="74" t="s">
        <v>392</v>
      </c>
      <c r="C273" s="74" t="s">
        <v>644</v>
      </c>
      <c r="D273" s="75" t="s">
        <v>444</v>
      </c>
      <c r="E273" s="86" t="str">
        <f>IFERROR(SUBTOTAL(1,E274:E281),"")</f>
        <v/>
      </c>
      <c r="F273" s="74">
        <f t="shared" si="8"/>
        <v>0</v>
      </c>
      <c r="G273" s="74">
        <f t="shared" si="9"/>
        <v>0</v>
      </c>
      <c r="H273" s="76">
        <f>MIN(H274:H281)</f>
        <v>0</v>
      </c>
      <c r="I273" s="76">
        <f>MAX(I274:I281)</f>
        <v>0</v>
      </c>
      <c r="J273" s="77"/>
    </row>
    <row r="274" spans="1:10" hidden="1" outlineLevel="3" x14ac:dyDescent="0.35">
      <c r="A274" s="78">
        <v>5</v>
      </c>
      <c r="B274" s="78" t="s">
        <v>385</v>
      </c>
      <c r="C274" s="78" t="s">
        <v>1597</v>
      </c>
      <c r="D274" s="79"/>
      <c r="E274" s="87"/>
      <c r="F274" s="80">
        <f t="shared" si="8"/>
        <v>0</v>
      </c>
      <c r="G274" s="80">
        <f t="shared" si="9"/>
        <v>0</v>
      </c>
      <c r="H274" s="81"/>
      <c r="I274" s="81"/>
      <c r="J274" s="82"/>
    </row>
    <row r="275" spans="1:10" hidden="1" outlineLevel="3" x14ac:dyDescent="0.35">
      <c r="A275" s="78">
        <v>5</v>
      </c>
      <c r="B275" s="78" t="s">
        <v>385</v>
      </c>
      <c r="C275" s="78" t="s">
        <v>1598</v>
      </c>
      <c r="D275" s="79"/>
      <c r="E275" s="87"/>
      <c r="F275" s="80">
        <f t="shared" si="8"/>
        <v>0</v>
      </c>
      <c r="G275" s="80">
        <f t="shared" si="9"/>
        <v>0</v>
      </c>
      <c r="H275" s="81"/>
      <c r="I275" s="81"/>
      <c r="J275" s="82"/>
    </row>
    <row r="276" spans="1:10" hidden="1" outlineLevel="3" x14ac:dyDescent="0.35">
      <c r="A276" s="78">
        <v>5</v>
      </c>
      <c r="B276" s="78" t="s">
        <v>385</v>
      </c>
      <c r="C276" s="78" t="s">
        <v>1599</v>
      </c>
      <c r="D276" s="79"/>
      <c r="E276" s="87"/>
      <c r="F276" s="80">
        <f t="shared" si="8"/>
        <v>0</v>
      </c>
      <c r="G276" s="80">
        <f t="shared" si="9"/>
        <v>0</v>
      </c>
      <c r="H276" s="81"/>
      <c r="I276" s="81"/>
      <c r="J276" s="82"/>
    </row>
    <row r="277" spans="1:10" hidden="1" outlineLevel="3" x14ac:dyDescent="0.35">
      <c r="A277" s="78">
        <v>5</v>
      </c>
      <c r="B277" s="78" t="s">
        <v>385</v>
      </c>
      <c r="C277" s="78" t="s">
        <v>1600</v>
      </c>
      <c r="D277" s="79"/>
      <c r="E277" s="87"/>
      <c r="F277" s="80">
        <f t="shared" si="8"/>
        <v>0</v>
      </c>
      <c r="G277" s="80">
        <f t="shared" si="9"/>
        <v>0</v>
      </c>
      <c r="H277" s="81"/>
      <c r="I277" s="81"/>
      <c r="J277" s="82"/>
    </row>
    <row r="278" spans="1:10" hidden="1" outlineLevel="3" x14ac:dyDescent="0.35">
      <c r="A278" s="78">
        <v>5</v>
      </c>
      <c r="B278" s="78" t="s">
        <v>385</v>
      </c>
      <c r="C278" s="78" t="s">
        <v>1601</v>
      </c>
      <c r="D278" s="79"/>
      <c r="E278" s="87"/>
      <c r="F278" s="80">
        <f t="shared" si="8"/>
        <v>0</v>
      </c>
      <c r="G278" s="80">
        <f t="shared" si="9"/>
        <v>0</v>
      </c>
      <c r="H278" s="81"/>
      <c r="I278" s="81"/>
      <c r="J278" s="82"/>
    </row>
    <row r="279" spans="1:10" hidden="1" outlineLevel="3" x14ac:dyDescent="0.35">
      <c r="A279" s="78">
        <v>5</v>
      </c>
      <c r="B279" s="78" t="s">
        <v>385</v>
      </c>
      <c r="C279" s="78" t="s">
        <v>1602</v>
      </c>
      <c r="D279" s="79"/>
      <c r="E279" s="87"/>
      <c r="F279" s="80">
        <f t="shared" si="8"/>
        <v>0</v>
      </c>
      <c r="G279" s="80">
        <f t="shared" si="9"/>
        <v>0</v>
      </c>
      <c r="H279" s="81"/>
      <c r="I279" s="81"/>
      <c r="J279" s="82"/>
    </row>
    <row r="280" spans="1:10" hidden="1" outlineLevel="3" x14ac:dyDescent="0.35">
      <c r="A280" s="78">
        <v>5</v>
      </c>
      <c r="B280" s="78" t="s">
        <v>385</v>
      </c>
      <c r="C280" s="78" t="s">
        <v>1603</v>
      </c>
      <c r="D280" s="79"/>
      <c r="E280" s="87"/>
      <c r="F280" s="80">
        <f t="shared" si="8"/>
        <v>0</v>
      </c>
      <c r="G280" s="80">
        <f t="shared" si="9"/>
        <v>0</v>
      </c>
      <c r="H280" s="81"/>
      <c r="I280" s="81"/>
      <c r="J280" s="82"/>
    </row>
    <row r="281" spans="1:10" hidden="1" outlineLevel="3" x14ac:dyDescent="0.35">
      <c r="A281" s="78">
        <v>5</v>
      </c>
      <c r="B281" s="78" t="s">
        <v>385</v>
      </c>
      <c r="C281" s="78" t="s">
        <v>1604</v>
      </c>
      <c r="D281" s="79"/>
      <c r="E281" s="87"/>
      <c r="F281" s="80">
        <f t="shared" si="8"/>
        <v>0</v>
      </c>
      <c r="G281" s="80">
        <f t="shared" si="9"/>
        <v>0</v>
      </c>
      <c r="H281" s="81"/>
      <c r="I281" s="81"/>
      <c r="J281" s="82"/>
    </row>
    <row r="282" spans="1:10" outlineLevel="1" collapsed="1" x14ac:dyDescent="0.35">
      <c r="A282" s="67">
        <v>3</v>
      </c>
      <c r="B282" s="67" t="s">
        <v>298</v>
      </c>
      <c r="C282" s="67" t="s">
        <v>645</v>
      </c>
      <c r="D282" s="73" t="s">
        <v>646</v>
      </c>
      <c r="E282" s="85" t="str">
        <f>IFERROR(AVERAGE(E283,E299,E309,E318,E327,E336),"")</f>
        <v/>
      </c>
      <c r="F282" s="67">
        <f t="shared" si="8"/>
        <v>0</v>
      </c>
      <c r="G282" s="67">
        <f t="shared" si="9"/>
        <v>0</v>
      </c>
      <c r="H282" s="72">
        <f>MIN(H283,H299,H309,H318,H327,H336)</f>
        <v>0</v>
      </c>
      <c r="I282" s="72">
        <f>MAX(I283,I299,I309,I318,I327,I336)</f>
        <v>0</v>
      </c>
      <c r="J282" s="71"/>
    </row>
    <row r="283" spans="1:10" hidden="1" outlineLevel="2" collapsed="1" x14ac:dyDescent="0.35">
      <c r="A283" s="74">
        <v>4</v>
      </c>
      <c r="B283" s="74" t="s">
        <v>392</v>
      </c>
      <c r="C283" s="74" t="s">
        <v>647</v>
      </c>
      <c r="D283" s="75" t="s">
        <v>394</v>
      </c>
      <c r="E283" s="86" t="str">
        <f>IFERROR(SUBTOTAL(1,E284:E298),"")</f>
        <v/>
      </c>
      <c r="F283" s="74">
        <f t="shared" si="8"/>
        <v>0</v>
      </c>
      <c r="G283" s="74">
        <f t="shared" si="9"/>
        <v>0</v>
      </c>
      <c r="H283" s="76">
        <f>MIN(H284:H298)</f>
        <v>0</v>
      </c>
      <c r="I283" s="76">
        <f>MAX(I284:I298)</f>
        <v>0</v>
      </c>
      <c r="J283" s="77"/>
    </row>
    <row r="284" spans="1:10" hidden="1" outlineLevel="3" x14ac:dyDescent="0.35">
      <c r="A284" s="78">
        <v>5</v>
      </c>
      <c r="B284" s="78" t="s">
        <v>385</v>
      </c>
      <c r="C284" s="78" t="s">
        <v>648</v>
      </c>
      <c r="D284" s="79" t="s">
        <v>342</v>
      </c>
      <c r="E284" s="87"/>
      <c r="F284" s="80">
        <f t="shared" si="8"/>
        <v>0</v>
      </c>
      <c r="G284" s="80">
        <f t="shared" si="9"/>
        <v>0</v>
      </c>
      <c r="H284" s="81"/>
      <c r="I284" s="81"/>
      <c r="J284" s="82"/>
    </row>
    <row r="285" spans="1:10" hidden="1" outlineLevel="3" x14ac:dyDescent="0.35">
      <c r="A285" s="78">
        <v>5</v>
      </c>
      <c r="B285" s="78" t="s">
        <v>385</v>
      </c>
      <c r="C285" s="78" t="s">
        <v>649</v>
      </c>
      <c r="D285" s="79" t="s">
        <v>334</v>
      </c>
      <c r="E285" s="87"/>
      <c r="F285" s="80">
        <f t="shared" si="8"/>
        <v>0</v>
      </c>
      <c r="G285" s="80">
        <f t="shared" si="9"/>
        <v>0</v>
      </c>
      <c r="H285" s="81"/>
      <c r="I285" s="81"/>
      <c r="J285" s="82"/>
    </row>
    <row r="286" spans="1:10" hidden="1" outlineLevel="3" x14ac:dyDescent="0.35">
      <c r="A286" s="78">
        <v>5</v>
      </c>
      <c r="B286" s="78" t="s">
        <v>385</v>
      </c>
      <c r="C286" s="78" t="s">
        <v>650</v>
      </c>
      <c r="D286" s="79" t="s">
        <v>343</v>
      </c>
      <c r="E286" s="87"/>
      <c r="F286" s="80">
        <f t="shared" si="8"/>
        <v>0</v>
      </c>
      <c r="G286" s="80">
        <f t="shared" si="9"/>
        <v>0</v>
      </c>
      <c r="H286" s="81"/>
      <c r="I286" s="81"/>
      <c r="J286" s="82"/>
    </row>
    <row r="287" spans="1:10" hidden="1" outlineLevel="3" x14ac:dyDescent="0.35">
      <c r="A287" s="78">
        <v>5</v>
      </c>
      <c r="B287" s="78" t="s">
        <v>385</v>
      </c>
      <c r="C287" s="78" t="s">
        <v>651</v>
      </c>
      <c r="D287" s="79" t="s">
        <v>345</v>
      </c>
      <c r="E287" s="87"/>
      <c r="F287" s="80">
        <f t="shared" si="8"/>
        <v>0</v>
      </c>
      <c r="G287" s="80">
        <f t="shared" si="9"/>
        <v>0</v>
      </c>
      <c r="H287" s="81"/>
      <c r="I287" s="81"/>
      <c r="J287" s="82"/>
    </row>
    <row r="288" spans="1:10" hidden="1" outlineLevel="3" x14ac:dyDescent="0.35">
      <c r="A288" s="78">
        <v>5</v>
      </c>
      <c r="B288" s="78" t="s">
        <v>385</v>
      </c>
      <c r="C288" s="78" t="s">
        <v>652</v>
      </c>
      <c r="D288" s="79" t="s">
        <v>334</v>
      </c>
      <c r="E288" s="87"/>
      <c r="F288" s="80">
        <f t="shared" si="8"/>
        <v>0</v>
      </c>
      <c r="G288" s="80">
        <f t="shared" si="9"/>
        <v>0</v>
      </c>
      <c r="H288" s="81"/>
      <c r="I288" s="81"/>
      <c r="J288" s="82"/>
    </row>
    <row r="289" spans="1:10" hidden="1" outlineLevel="3" x14ac:dyDescent="0.35">
      <c r="A289" s="78">
        <v>5</v>
      </c>
      <c r="B289" s="78" t="s">
        <v>385</v>
      </c>
      <c r="C289" s="78" t="s">
        <v>653</v>
      </c>
      <c r="D289" s="79" t="s">
        <v>350</v>
      </c>
      <c r="E289" s="87"/>
      <c r="F289" s="80">
        <f t="shared" si="8"/>
        <v>0</v>
      </c>
      <c r="G289" s="80">
        <f t="shared" si="9"/>
        <v>0</v>
      </c>
      <c r="H289" s="81"/>
      <c r="I289" s="81"/>
      <c r="J289" s="82"/>
    </row>
    <row r="290" spans="1:10" hidden="1" outlineLevel="3" x14ac:dyDescent="0.35">
      <c r="A290" s="78">
        <v>5</v>
      </c>
      <c r="B290" s="78" t="s">
        <v>385</v>
      </c>
      <c r="C290" s="78" t="s">
        <v>654</v>
      </c>
      <c r="D290" s="79" t="s">
        <v>341</v>
      </c>
      <c r="E290" s="87"/>
      <c r="F290" s="80">
        <f t="shared" si="8"/>
        <v>0</v>
      </c>
      <c r="G290" s="80">
        <f t="shared" si="9"/>
        <v>0</v>
      </c>
      <c r="H290" s="81"/>
      <c r="I290" s="81"/>
      <c r="J290" s="82"/>
    </row>
    <row r="291" spans="1:10" hidden="1" outlineLevel="3" x14ac:dyDescent="0.35">
      <c r="A291" s="78">
        <v>5</v>
      </c>
      <c r="B291" s="78" t="s">
        <v>385</v>
      </c>
      <c r="C291" s="78" t="s">
        <v>655</v>
      </c>
      <c r="D291" s="79" t="s">
        <v>33</v>
      </c>
      <c r="E291" s="87"/>
      <c r="F291" s="80">
        <f t="shared" si="8"/>
        <v>0</v>
      </c>
      <c r="G291" s="80">
        <f t="shared" si="9"/>
        <v>0</v>
      </c>
      <c r="H291" s="81"/>
      <c r="I291" s="81"/>
      <c r="J291" s="82"/>
    </row>
    <row r="292" spans="1:10" hidden="1" outlineLevel="3" x14ac:dyDescent="0.35">
      <c r="A292" s="78">
        <v>5</v>
      </c>
      <c r="B292" s="78" t="s">
        <v>385</v>
      </c>
      <c r="C292" s="78" t="s">
        <v>1629</v>
      </c>
      <c r="D292" s="79" t="s">
        <v>334</v>
      </c>
      <c r="E292" s="87"/>
      <c r="F292" s="80">
        <f t="shared" si="8"/>
        <v>0</v>
      </c>
      <c r="G292" s="80">
        <f t="shared" si="9"/>
        <v>0</v>
      </c>
      <c r="H292" s="81"/>
      <c r="I292" s="81"/>
      <c r="J292" s="82"/>
    </row>
    <row r="293" spans="1:10" hidden="1" outlineLevel="3" x14ac:dyDescent="0.35">
      <c r="A293" s="78">
        <v>5</v>
      </c>
      <c r="B293" s="78" t="s">
        <v>385</v>
      </c>
      <c r="C293" s="78" t="s">
        <v>1630</v>
      </c>
      <c r="D293" s="79" t="s">
        <v>350</v>
      </c>
      <c r="E293" s="87"/>
      <c r="F293" s="80">
        <f t="shared" si="8"/>
        <v>0</v>
      </c>
      <c r="G293" s="80">
        <f t="shared" si="9"/>
        <v>0</v>
      </c>
      <c r="H293" s="81"/>
      <c r="I293" s="81"/>
      <c r="J293" s="82"/>
    </row>
    <row r="294" spans="1:10" hidden="1" outlineLevel="3" x14ac:dyDescent="0.35">
      <c r="A294" s="78">
        <v>5</v>
      </c>
      <c r="B294" s="78" t="s">
        <v>385</v>
      </c>
      <c r="C294" s="78" t="s">
        <v>1631</v>
      </c>
      <c r="D294" s="79" t="s">
        <v>365</v>
      </c>
      <c r="E294" s="87"/>
      <c r="F294" s="80">
        <f t="shared" si="8"/>
        <v>0</v>
      </c>
      <c r="G294" s="80">
        <f t="shared" si="9"/>
        <v>0</v>
      </c>
      <c r="H294" s="81"/>
      <c r="I294" s="81"/>
      <c r="J294" s="82"/>
    </row>
    <row r="295" spans="1:10" hidden="1" outlineLevel="3" x14ac:dyDescent="0.35">
      <c r="A295" s="78">
        <v>5</v>
      </c>
      <c r="B295" s="78" t="s">
        <v>385</v>
      </c>
      <c r="C295" s="78" t="s">
        <v>1632</v>
      </c>
      <c r="D295" s="79" t="s">
        <v>33</v>
      </c>
      <c r="E295" s="87"/>
      <c r="F295" s="80">
        <f t="shared" si="8"/>
        <v>0</v>
      </c>
      <c r="G295" s="80">
        <f t="shared" si="9"/>
        <v>0</v>
      </c>
      <c r="H295" s="81"/>
      <c r="I295" s="81"/>
      <c r="J295" s="82"/>
    </row>
    <row r="296" spans="1:10" hidden="1" outlineLevel="3" x14ac:dyDescent="0.35">
      <c r="A296" s="78">
        <v>5</v>
      </c>
      <c r="B296" s="78" t="s">
        <v>385</v>
      </c>
      <c r="C296" s="78" t="s">
        <v>1633</v>
      </c>
      <c r="D296" s="79" t="s">
        <v>334</v>
      </c>
      <c r="E296" s="87"/>
      <c r="F296" s="80">
        <f t="shared" si="8"/>
        <v>0</v>
      </c>
      <c r="G296" s="80">
        <f t="shared" si="9"/>
        <v>0</v>
      </c>
      <c r="H296" s="81"/>
      <c r="I296" s="81"/>
      <c r="J296" s="82"/>
    </row>
    <row r="297" spans="1:10" hidden="1" outlineLevel="3" x14ac:dyDescent="0.35">
      <c r="A297" s="78">
        <v>5</v>
      </c>
      <c r="B297" s="78" t="s">
        <v>385</v>
      </c>
      <c r="C297" s="78" t="s">
        <v>1634</v>
      </c>
      <c r="D297" s="79" t="s">
        <v>350</v>
      </c>
      <c r="E297" s="87"/>
      <c r="F297" s="80">
        <f t="shared" si="8"/>
        <v>0</v>
      </c>
      <c r="G297" s="80">
        <f t="shared" si="9"/>
        <v>0</v>
      </c>
      <c r="H297" s="81"/>
      <c r="I297" s="81"/>
      <c r="J297" s="82"/>
    </row>
    <row r="298" spans="1:10" hidden="1" outlineLevel="3" x14ac:dyDescent="0.35">
      <c r="A298" s="78">
        <v>5</v>
      </c>
      <c r="B298" s="78" t="s">
        <v>385</v>
      </c>
      <c r="C298" s="78" t="s">
        <v>1635</v>
      </c>
      <c r="D298" s="79" t="s">
        <v>365</v>
      </c>
      <c r="E298" s="87"/>
      <c r="F298" s="80">
        <f t="shared" si="8"/>
        <v>0</v>
      </c>
      <c r="G298" s="80">
        <f t="shared" si="9"/>
        <v>0</v>
      </c>
      <c r="H298" s="81"/>
      <c r="I298" s="81"/>
      <c r="J298" s="82"/>
    </row>
    <row r="299" spans="1:10" hidden="1" outlineLevel="2" collapsed="1" x14ac:dyDescent="0.35">
      <c r="A299" s="74">
        <v>4</v>
      </c>
      <c r="B299" s="74" t="s">
        <v>392</v>
      </c>
      <c r="C299" s="74" t="s">
        <v>656</v>
      </c>
      <c r="D299" s="75" t="s">
        <v>404</v>
      </c>
      <c r="E299" s="86" t="str">
        <f>IFERROR(SUBTOTAL(1,E300:E308),"")</f>
        <v/>
      </c>
      <c r="F299" s="74">
        <f t="shared" si="8"/>
        <v>0</v>
      </c>
      <c r="G299" s="74">
        <f t="shared" si="9"/>
        <v>0</v>
      </c>
      <c r="H299" s="76">
        <f>MIN(H300:H308)</f>
        <v>0</v>
      </c>
      <c r="I299" s="76">
        <f>MAX(I300:I308)</f>
        <v>0</v>
      </c>
      <c r="J299" s="77"/>
    </row>
    <row r="300" spans="1:10" hidden="1" outlineLevel="3" x14ac:dyDescent="0.35">
      <c r="A300" s="78">
        <v>5</v>
      </c>
      <c r="B300" s="78" t="s">
        <v>385</v>
      </c>
      <c r="C300" s="78" t="s">
        <v>657</v>
      </c>
      <c r="D300" s="79" t="s">
        <v>336</v>
      </c>
      <c r="E300" s="87"/>
      <c r="F300" s="80">
        <f t="shared" si="8"/>
        <v>0</v>
      </c>
      <c r="G300" s="80">
        <f t="shared" si="9"/>
        <v>0</v>
      </c>
      <c r="H300" s="81"/>
      <c r="I300" s="81"/>
      <c r="J300" s="82"/>
    </row>
    <row r="301" spans="1:10" hidden="1" outlineLevel="3" x14ac:dyDescent="0.35">
      <c r="A301" s="78">
        <v>5</v>
      </c>
      <c r="B301" s="78" t="s">
        <v>385</v>
      </c>
      <c r="C301" s="78" t="s">
        <v>658</v>
      </c>
      <c r="D301" s="79" t="s">
        <v>344</v>
      </c>
      <c r="E301" s="87"/>
      <c r="F301" s="80">
        <f t="shared" si="8"/>
        <v>0</v>
      </c>
      <c r="G301" s="80">
        <f t="shared" si="9"/>
        <v>0</v>
      </c>
      <c r="H301" s="81"/>
      <c r="I301" s="81"/>
      <c r="J301" s="82"/>
    </row>
    <row r="302" spans="1:10" hidden="1" outlineLevel="3" x14ac:dyDescent="0.35">
      <c r="A302" s="78">
        <v>5</v>
      </c>
      <c r="B302" s="78" t="s">
        <v>385</v>
      </c>
      <c r="C302" s="78" t="s">
        <v>659</v>
      </c>
      <c r="D302" s="79" t="s">
        <v>346</v>
      </c>
      <c r="E302" s="87"/>
      <c r="F302" s="80">
        <f t="shared" si="8"/>
        <v>0</v>
      </c>
      <c r="G302" s="80">
        <f t="shared" si="9"/>
        <v>0</v>
      </c>
      <c r="H302" s="81"/>
      <c r="I302" s="81"/>
      <c r="J302" s="82"/>
    </row>
    <row r="303" spans="1:10" hidden="1" outlineLevel="3" x14ac:dyDescent="0.35">
      <c r="A303" s="78">
        <v>5</v>
      </c>
      <c r="B303" s="78" t="s">
        <v>385</v>
      </c>
      <c r="C303" s="78" t="s">
        <v>660</v>
      </c>
      <c r="D303" s="79" t="s">
        <v>336</v>
      </c>
      <c r="E303" s="87"/>
      <c r="F303" s="80">
        <f t="shared" si="8"/>
        <v>0</v>
      </c>
      <c r="G303" s="80">
        <f t="shared" si="9"/>
        <v>0</v>
      </c>
      <c r="H303" s="81"/>
      <c r="I303" s="81"/>
      <c r="J303" s="82"/>
    </row>
    <row r="304" spans="1:10" hidden="1" outlineLevel="3" x14ac:dyDescent="0.35">
      <c r="A304" s="78">
        <v>5</v>
      </c>
      <c r="B304" s="78" t="s">
        <v>385</v>
      </c>
      <c r="C304" s="78" t="s">
        <v>661</v>
      </c>
      <c r="D304" s="79" t="s">
        <v>351</v>
      </c>
      <c r="E304" s="87"/>
      <c r="F304" s="80">
        <f t="shared" si="8"/>
        <v>0</v>
      </c>
      <c r="G304" s="80">
        <f t="shared" si="9"/>
        <v>0</v>
      </c>
      <c r="H304" s="81"/>
      <c r="I304" s="81"/>
      <c r="J304" s="82"/>
    </row>
    <row r="305" spans="1:10" hidden="1" outlineLevel="3" x14ac:dyDescent="0.35">
      <c r="A305" s="78">
        <v>5</v>
      </c>
      <c r="B305" s="78" t="s">
        <v>385</v>
      </c>
      <c r="C305" s="78" t="s">
        <v>662</v>
      </c>
      <c r="D305" s="79" t="s">
        <v>336</v>
      </c>
      <c r="E305" s="87"/>
      <c r="F305" s="80">
        <f t="shared" si="8"/>
        <v>0</v>
      </c>
      <c r="G305" s="80">
        <f t="shared" si="9"/>
        <v>0</v>
      </c>
      <c r="H305" s="81"/>
      <c r="I305" s="81"/>
      <c r="J305" s="82"/>
    </row>
    <row r="306" spans="1:10" hidden="1" outlineLevel="3" x14ac:dyDescent="0.35">
      <c r="A306" s="78">
        <v>5</v>
      </c>
      <c r="B306" s="78" t="s">
        <v>385</v>
      </c>
      <c r="C306" s="78" t="s">
        <v>663</v>
      </c>
      <c r="D306" s="79" t="s">
        <v>351</v>
      </c>
      <c r="E306" s="87"/>
      <c r="F306" s="80">
        <f t="shared" si="8"/>
        <v>0</v>
      </c>
      <c r="G306" s="80">
        <f t="shared" si="9"/>
        <v>0</v>
      </c>
      <c r="H306" s="81"/>
      <c r="I306" s="81"/>
      <c r="J306" s="82"/>
    </row>
    <row r="307" spans="1:10" hidden="1" outlineLevel="3" x14ac:dyDescent="0.35">
      <c r="A307" s="78">
        <v>5</v>
      </c>
      <c r="B307" s="78" t="s">
        <v>385</v>
      </c>
      <c r="C307" s="78" t="s">
        <v>664</v>
      </c>
      <c r="D307" s="79" t="s">
        <v>336</v>
      </c>
      <c r="E307" s="87"/>
      <c r="F307" s="80">
        <f t="shared" si="8"/>
        <v>0</v>
      </c>
      <c r="G307" s="80">
        <f t="shared" si="9"/>
        <v>0</v>
      </c>
      <c r="H307" s="81"/>
      <c r="I307" s="81"/>
      <c r="J307" s="82"/>
    </row>
    <row r="308" spans="1:10" hidden="1" outlineLevel="3" x14ac:dyDescent="0.35">
      <c r="A308" s="78">
        <v>5</v>
      </c>
      <c r="B308" s="78" t="s">
        <v>385</v>
      </c>
      <c r="C308" s="78" t="s">
        <v>1636</v>
      </c>
      <c r="D308" s="79" t="s">
        <v>351</v>
      </c>
      <c r="E308" s="87"/>
      <c r="F308" s="80">
        <f t="shared" si="8"/>
        <v>0</v>
      </c>
      <c r="G308" s="80">
        <f t="shared" si="9"/>
        <v>0</v>
      </c>
      <c r="H308" s="81"/>
      <c r="I308" s="81"/>
      <c r="J308" s="82"/>
    </row>
    <row r="309" spans="1:10" hidden="1" outlineLevel="2" collapsed="1" x14ac:dyDescent="0.35">
      <c r="A309" s="74">
        <v>4</v>
      </c>
      <c r="B309" s="74" t="s">
        <v>392</v>
      </c>
      <c r="C309" s="74" t="s">
        <v>665</v>
      </c>
      <c r="D309" s="75" t="s">
        <v>414</v>
      </c>
      <c r="E309" s="86" t="str">
        <f>IFERROR(SUBTOTAL(1,E310:E317),"")</f>
        <v/>
      </c>
      <c r="F309" s="74">
        <f t="shared" si="8"/>
        <v>0</v>
      </c>
      <c r="G309" s="74">
        <f t="shared" si="9"/>
        <v>0</v>
      </c>
      <c r="H309" s="76">
        <f>MIN(H310:H317)</f>
        <v>0</v>
      </c>
      <c r="I309" s="76">
        <f>MAX(I310:I317)</f>
        <v>0</v>
      </c>
      <c r="J309" s="77"/>
    </row>
    <row r="310" spans="1:10" hidden="1" outlineLevel="3" x14ac:dyDescent="0.35">
      <c r="A310" s="78">
        <v>5</v>
      </c>
      <c r="B310" s="78" t="s">
        <v>385</v>
      </c>
      <c r="C310" s="78" t="s">
        <v>666</v>
      </c>
      <c r="D310" s="79" t="s">
        <v>335</v>
      </c>
      <c r="E310" s="87"/>
      <c r="F310" s="80">
        <f t="shared" si="8"/>
        <v>0</v>
      </c>
      <c r="G310" s="80">
        <f t="shared" si="9"/>
        <v>0</v>
      </c>
      <c r="H310" s="81"/>
      <c r="I310" s="81"/>
      <c r="J310" s="82"/>
    </row>
    <row r="311" spans="1:10" hidden="1" outlineLevel="3" x14ac:dyDescent="0.35">
      <c r="A311" s="78">
        <v>5</v>
      </c>
      <c r="B311" s="78" t="s">
        <v>385</v>
      </c>
      <c r="C311" s="78" t="s">
        <v>667</v>
      </c>
      <c r="D311" s="79" t="s">
        <v>335</v>
      </c>
      <c r="E311" s="87"/>
      <c r="F311" s="80">
        <f t="shared" si="8"/>
        <v>0</v>
      </c>
      <c r="G311" s="80">
        <f t="shared" si="9"/>
        <v>0</v>
      </c>
      <c r="H311" s="81"/>
      <c r="I311" s="81"/>
      <c r="J311" s="82"/>
    </row>
    <row r="312" spans="1:10" hidden="1" outlineLevel="3" x14ac:dyDescent="0.35">
      <c r="A312" s="78">
        <v>5</v>
      </c>
      <c r="B312" s="78" t="s">
        <v>385</v>
      </c>
      <c r="C312" s="78" t="s">
        <v>668</v>
      </c>
      <c r="D312" s="79" t="s">
        <v>335</v>
      </c>
      <c r="E312" s="87"/>
      <c r="F312" s="80">
        <f t="shared" si="8"/>
        <v>0</v>
      </c>
      <c r="G312" s="80">
        <f t="shared" si="9"/>
        <v>0</v>
      </c>
      <c r="H312" s="81"/>
      <c r="I312" s="81"/>
      <c r="J312" s="82"/>
    </row>
    <row r="313" spans="1:10" hidden="1" outlineLevel="3" x14ac:dyDescent="0.35">
      <c r="A313" s="78">
        <v>5</v>
      </c>
      <c r="B313" s="78" t="s">
        <v>385</v>
      </c>
      <c r="C313" s="78" t="s">
        <v>669</v>
      </c>
      <c r="D313" s="79" t="s">
        <v>335</v>
      </c>
      <c r="E313" s="87"/>
      <c r="F313" s="80">
        <f t="shared" si="8"/>
        <v>0</v>
      </c>
      <c r="G313" s="80">
        <f t="shared" si="9"/>
        <v>0</v>
      </c>
      <c r="H313" s="81"/>
      <c r="I313" s="81"/>
      <c r="J313" s="82"/>
    </row>
    <row r="314" spans="1:10" hidden="1" outlineLevel="3" x14ac:dyDescent="0.35">
      <c r="A314" s="78">
        <v>5</v>
      </c>
      <c r="B314" s="78" t="s">
        <v>385</v>
      </c>
      <c r="C314" s="78" t="s">
        <v>670</v>
      </c>
      <c r="D314" s="79"/>
      <c r="E314" s="87"/>
      <c r="F314" s="80">
        <f t="shared" si="8"/>
        <v>0</v>
      </c>
      <c r="G314" s="80">
        <f t="shared" si="9"/>
        <v>0</v>
      </c>
      <c r="H314" s="81"/>
      <c r="I314" s="81"/>
      <c r="J314" s="82"/>
    </row>
    <row r="315" spans="1:10" hidden="1" outlineLevel="3" x14ac:dyDescent="0.35">
      <c r="A315" s="78">
        <v>5</v>
      </c>
      <c r="B315" s="78" t="s">
        <v>385</v>
      </c>
      <c r="C315" s="78" t="s">
        <v>671</v>
      </c>
      <c r="D315" s="79"/>
      <c r="E315" s="87"/>
      <c r="F315" s="80">
        <f t="shared" si="8"/>
        <v>0</v>
      </c>
      <c r="G315" s="80">
        <f t="shared" si="9"/>
        <v>0</v>
      </c>
      <c r="H315" s="81"/>
      <c r="I315" s="81"/>
      <c r="J315" s="82"/>
    </row>
    <row r="316" spans="1:10" hidden="1" outlineLevel="3" x14ac:dyDescent="0.35">
      <c r="A316" s="78">
        <v>5</v>
      </c>
      <c r="B316" s="78" t="s">
        <v>385</v>
      </c>
      <c r="C316" s="78" t="s">
        <v>672</v>
      </c>
      <c r="D316" s="79"/>
      <c r="E316" s="87"/>
      <c r="F316" s="80">
        <f t="shared" si="8"/>
        <v>0</v>
      </c>
      <c r="G316" s="80">
        <f t="shared" si="9"/>
        <v>0</v>
      </c>
      <c r="H316" s="81"/>
      <c r="I316" s="81"/>
      <c r="J316" s="82"/>
    </row>
    <row r="317" spans="1:10" hidden="1" outlineLevel="3" x14ac:dyDescent="0.35">
      <c r="A317" s="78">
        <v>5</v>
      </c>
      <c r="B317" s="78" t="s">
        <v>385</v>
      </c>
      <c r="C317" s="78" t="s">
        <v>673</v>
      </c>
      <c r="D317" s="79"/>
      <c r="E317" s="87"/>
      <c r="F317" s="80">
        <f t="shared" si="8"/>
        <v>0</v>
      </c>
      <c r="G317" s="80">
        <f t="shared" si="9"/>
        <v>0</v>
      </c>
      <c r="H317" s="81"/>
      <c r="I317" s="81"/>
      <c r="J317" s="82"/>
    </row>
    <row r="318" spans="1:10" hidden="1" outlineLevel="2" collapsed="1" x14ac:dyDescent="0.35">
      <c r="A318" s="74">
        <v>4</v>
      </c>
      <c r="B318" s="74" t="s">
        <v>392</v>
      </c>
      <c r="C318" s="74" t="s">
        <v>674</v>
      </c>
      <c r="D318" s="75" t="s">
        <v>424</v>
      </c>
      <c r="E318" s="86" t="str">
        <f>IFERROR(SUBTOTAL(1,E319:E326),"")</f>
        <v/>
      </c>
      <c r="F318" s="74">
        <f t="shared" si="8"/>
        <v>0</v>
      </c>
      <c r="G318" s="74">
        <f t="shared" si="9"/>
        <v>0</v>
      </c>
      <c r="H318" s="76">
        <f>MIN(H319:H326)</f>
        <v>0</v>
      </c>
      <c r="I318" s="76">
        <f>MAX(I319:I326)</f>
        <v>0</v>
      </c>
      <c r="J318" s="77"/>
    </row>
    <row r="319" spans="1:10" hidden="1" outlineLevel="3" x14ac:dyDescent="0.35">
      <c r="A319" s="78">
        <v>5</v>
      </c>
      <c r="B319" s="78" t="s">
        <v>385</v>
      </c>
      <c r="C319" s="78" t="s">
        <v>675</v>
      </c>
      <c r="D319" s="79"/>
      <c r="E319" s="87"/>
      <c r="F319" s="80">
        <f t="shared" si="8"/>
        <v>0</v>
      </c>
      <c r="G319" s="80">
        <f t="shared" si="9"/>
        <v>0</v>
      </c>
      <c r="H319" s="81"/>
      <c r="I319" s="81"/>
      <c r="J319" s="82"/>
    </row>
    <row r="320" spans="1:10" hidden="1" outlineLevel="3" x14ac:dyDescent="0.35">
      <c r="A320" s="78">
        <v>5</v>
      </c>
      <c r="B320" s="78" t="s">
        <v>385</v>
      </c>
      <c r="C320" s="78" t="s">
        <v>676</v>
      </c>
      <c r="D320" s="79"/>
      <c r="E320" s="87"/>
      <c r="F320" s="80">
        <f t="shared" si="8"/>
        <v>0</v>
      </c>
      <c r="G320" s="80">
        <f t="shared" si="9"/>
        <v>0</v>
      </c>
      <c r="H320" s="81"/>
      <c r="I320" s="81"/>
      <c r="J320" s="82"/>
    </row>
    <row r="321" spans="1:10" hidden="1" outlineLevel="3" x14ac:dyDescent="0.35">
      <c r="A321" s="78">
        <v>5</v>
      </c>
      <c r="B321" s="78" t="s">
        <v>385</v>
      </c>
      <c r="C321" s="78" t="s">
        <v>677</v>
      </c>
      <c r="D321" s="79"/>
      <c r="E321" s="87"/>
      <c r="F321" s="80">
        <f t="shared" si="8"/>
        <v>0</v>
      </c>
      <c r="G321" s="80">
        <f t="shared" si="9"/>
        <v>0</v>
      </c>
      <c r="H321" s="81"/>
      <c r="I321" s="81"/>
      <c r="J321" s="82"/>
    </row>
    <row r="322" spans="1:10" hidden="1" outlineLevel="3" x14ac:dyDescent="0.35">
      <c r="A322" s="78">
        <v>5</v>
      </c>
      <c r="B322" s="78" t="s">
        <v>385</v>
      </c>
      <c r="C322" s="78" t="s">
        <v>678</v>
      </c>
      <c r="D322" s="79"/>
      <c r="E322" s="87"/>
      <c r="F322" s="80">
        <f t="shared" si="8"/>
        <v>0</v>
      </c>
      <c r="G322" s="80">
        <f t="shared" si="9"/>
        <v>0</v>
      </c>
      <c r="H322" s="81"/>
      <c r="I322" s="81"/>
      <c r="J322" s="82"/>
    </row>
    <row r="323" spans="1:10" hidden="1" outlineLevel="3" x14ac:dyDescent="0.35">
      <c r="A323" s="78">
        <v>5</v>
      </c>
      <c r="B323" s="78" t="s">
        <v>385</v>
      </c>
      <c r="C323" s="78" t="s">
        <v>679</v>
      </c>
      <c r="D323" s="79"/>
      <c r="E323" s="87"/>
      <c r="F323" s="80">
        <f t="shared" si="8"/>
        <v>0</v>
      </c>
      <c r="G323" s="80">
        <f t="shared" si="9"/>
        <v>0</v>
      </c>
      <c r="H323" s="81"/>
      <c r="I323" s="81"/>
      <c r="J323" s="82"/>
    </row>
    <row r="324" spans="1:10" hidden="1" outlineLevel="3" x14ac:dyDescent="0.35">
      <c r="A324" s="78">
        <v>5</v>
      </c>
      <c r="B324" s="78" t="s">
        <v>385</v>
      </c>
      <c r="C324" s="78" t="s">
        <v>680</v>
      </c>
      <c r="D324" s="79"/>
      <c r="E324" s="87"/>
      <c r="F324" s="80">
        <f t="shared" si="8"/>
        <v>0</v>
      </c>
      <c r="G324" s="80">
        <f t="shared" si="9"/>
        <v>0</v>
      </c>
      <c r="H324" s="81"/>
      <c r="I324" s="81"/>
      <c r="J324" s="82"/>
    </row>
    <row r="325" spans="1:10" hidden="1" outlineLevel="3" x14ac:dyDescent="0.35">
      <c r="A325" s="78">
        <v>5</v>
      </c>
      <c r="B325" s="78" t="s">
        <v>385</v>
      </c>
      <c r="C325" s="78" t="s">
        <v>681</v>
      </c>
      <c r="D325" s="79"/>
      <c r="E325" s="87"/>
      <c r="F325" s="80">
        <f t="shared" si="8"/>
        <v>0</v>
      </c>
      <c r="G325" s="80">
        <f t="shared" si="9"/>
        <v>0</v>
      </c>
      <c r="H325" s="81"/>
      <c r="I325" s="81"/>
      <c r="J325" s="82"/>
    </row>
    <row r="326" spans="1:10" hidden="1" outlineLevel="3" x14ac:dyDescent="0.35">
      <c r="A326" s="78">
        <v>5</v>
      </c>
      <c r="B326" s="78" t="s">
        <v>385</v>
      </c>
      <c r="C326" s="78" t="s">
        <v>682</v>
      </c>
      <c r="D326" s="79"/>
      <c r="E326" s="87"/>
      <c r="F326" s="80">
        <f t="shared" ref="F326:F389" si="10">IFERROR(DATEDIF(H326,I326,"D"),0)</f>
        <v>0</v>
      </c>
      <c r="G326" s="80">
        <f t="shared" ref="G326:G389" si="11">IFERROR(NETWORKDAYS.INTL(H326,I326),0)</f>
        <v>0</v>
      </c>
      <c r="H326" s="81"/>
      <c r="I326" s="81"/>
      <c r="J326" s="82"/>
    </row>
    <row r="327" spans="1:10" hidden="1" outlineLevel="2" collapsed="1" x14ac:dyDescent="0.35">
      <c r="A327" s="74">
        <v>4</v>
      </c>
      <c r="B327" s="74" t="s">
        <v>392</v>
      </c>
      <c r="C327" s="74" t="s">
        <v>683</v>
      </c>
      <c r="D327" s="75" t="s">
        <v>434</v>
      </c>
      <c r="E327" s="86" t="str">
        <f>IFERROR(SUBTOTAL(1,E328:E335),"")</f>
        <v/>
      </c>
      <c r="F327" s="74">
        <f t="shared" si="10"/>
        <v>0</v>
      </c>
      <c r="G327" s="74">
        <f t="shared" si="11"/>
        <v>0</v>
      </c>
      <c r="H327" s="76">
        <f>MIN(H328:H335)</f>
        <v>0</v>
      </c>
      <c r="I327" s="76">
        <f>MAX(I328:I335)</f>
        <v>0</v>
      </c>
      <c r="J327" s="77"/>
    </row>
    <row r="328" spans="1:10" hidden="1" outlineLevel="3" x14ac:dyDescent="0.35">
      <c r="A328" s="78">
        <v>5</v>
      </c>
      <c r="B328" s="78" t="s">
        <v>385</v>
      </c>
      <c r="C328" s="78" t="s">
        <v>684</v>
      </c>
      <c r="D328" s="79"/>
      <c r="E328" s="87"/>
      <c r="F328" s="80">
        <f t="shared" si="10"/>
        <v>0</v>
      </c>
      <c r="G328" s="80">
        <f t="shared" si="11"/>
        <v>0</v>
      </c>
      <c r="H328" s="81"/>
      <c r="I328" s="81"/>
      <c r="J328" s="82"/>
    </row>
    <row r="329" spans="1:10" hidden="1" outlineLevel="3" x14ac:dyDescent="0.35">
      <c r="A329" s="78">
        <v>5</v>
      </c>
      <c r="B329" s="78" t="s">
        <v>385</v>
      </c>
      <c r="C329" s="78" t="s">
        <v>685</v>
      </c>
      <c r="D329" s="79"/>
      <c r="E329" s="87"/>
      <c r="F329" s="80">
        <f t="shared" si="10"/>
        <v>0</v>
      </c>
      <c r="G329" s="80">
        <f t="shared" si="11"/>
        <v>0</v>
      </c>
      <c r="H329" s="81"/>
      <c r="I329" s="81"/>
      <c r="J329" s="82"/>
    </row>
    <row r="330" spans="1:10" hidden="1" outlineLevel="3" x14ac:dyDescent="0.35">
      <c r="A330" s="78">
        <v>5</v>
      </c>
      <c r="B330" s="78" t="s">
        <v>385</v>
      </c>
      <c r="C330" s="78" t="s">
        <v>686</v>
      </c>
      <c r="D330" s="79"/>
      <c r="E330" s="87"/>
      <c r="F330" s="80">
        <f t="shared" si="10"/>
        <v>0</v>
      </c>
      <c r="G330" s="80">
        <f t="shared" si="11"/>
        <v>0</v>
      </c>
      <c r="H330" s="81"/>
      <c r="I330" s="81"/>
      <c r="J330" s="82"/>
    </row>
    <row r="331" spans="1:10" hidden="1" outlineLevel="3" x14ac:dyDescent="0.35">
      <c r="A331" s="78">
        <v>5</v>
      </c>
      <c r="B331" s="78" t="s">
        <v>385</v>
      </c>
      <c r="C331" s="78" t="s">
        <v>687</v>
      </c>
      <c r="D331" s="79"/>
      <c r="E331" s="87"/>
      <c r="F331" s="80">
        <f t="shared" si="10"/>
        <v>0</v>
      </c>
      <c r="G331" s="80">
        <f t="shared" si="11"/>
        <v>0</v>
      </c>
      <c r="H331" s="81"/>
      <c r="I331" s="81"/>
      <c r="J331" s="82"/>
    </row>
    <row r="332" spans="1:10" hidden="1" outlineLevel="3" x14ac:dyDescent="0.35">
      <c r="A332" s="78">
        <v>5</v>
      </c>
      <c r="B332" s="78" t="s">
        <v>385</v>
      </c>
      <c r="C332" s="78" t="s">
        <v>688</v>
      </c>
      <c r="D332" s="79"/>
      <c r="E332" s="87"/>
      <c r="F332" s="80">
        <f t="shared" si="10"/>
        <v>0</v>
      </c>
      <c r="G332" s="80">
        <f t="shared" si="11"/>
        <v>0</v>
      </c>
      <c r="H332" s="81"/>
      <c r="I332" s="81"/>
      <c r="J332" s="82"/>
    </row>
    <row r="333" spans="1:10" hidden="1" outlineLevel="3" x14ac:dyDescent="0.35">
      <c r="A333" s="78">
        <v>5</v>
      </c>
      <c r="B333" s="78" t="s">
        <v>385</v>
      </c>
      <c r="C333" s="78" t="s">
        <v>689</v>
      </c>
      <c r="D333" s="79"/>
      <c r="E333" s="87"/>
      <c r="F333" s="80">
        <f t="shared" si="10"/>
        <v>0</v>
      </c>
      <c r="G333" s="80">
        <f t="shared" si="11"/>
        <v>0</v>
      </c>
      <c r="H333" s="81"/>
      <c r="I333" s="81"/>
      <c r="J333" s="82"/>
    </row>
    <row r="334" spans="1:10" hidden="1" outlineLevel="3" x14ac:dyDescent="0.35">
      <c r="A334" s="78">
        <v>5</v>
      </c>
      <c r="B334" s="78" t="s">
        <v>385</v>
      </c>
      <c r="C334" s="78" t="s">
        <v>690</v>
      </c>
      <c r="D334" s="79"/>
      <c r="E334" s="87"/>
      <c r="F334" s="80">
        <f t="shared" si="10"/>
        <v>0</v>
      </c>
      <c r="G334" s="80">
        <f t="shared" si="11"/>
        <v>0</v>
      </c>
      <c r="H334" s="81"/>
      <c r="I334" s="81"/>
      <c r="J334" s="82"/>
    </row>
    <row r="335" spans="1:10" hidden="1" outlineLevel="3" x14ac:dyDescent="0.35">
      <c r="A335" s="78">
        <v>5</v>
      </c>
      <c r="B335" s="78" t="s">
        <v>385</v>
      </c>
      <c r="C335" s="78" t="s">
        <v>691</v>
      </c>
      <c r="D335" s="79"/>
      <c r="E335" s="87"/>
      <c r="F335" s="80">
        <f t="shared" si="10"/>
        <v>0</v>
      </c>
      <c r="G335" s="80">
        <f t="shared" si="11"/>
        <v>0</v>
      </c>
      <c r="H335" s="81"/>
      <c r="I335" s="81"/>
      <c r="J335" s="82"/>
    </row>
    <row r="336" spans="1:10" hidden="1" outlineLevel="2" collapsed="1" x14ac:dyDescent="0.35">
      <c r="A336" s="74">
        <v>4</v>
      </c>
      <c r="B336" s="74" t="s">
        <v>392</v>
      </c>
      <c r="C336" s="74" t="s">
        <v>692</v>
      </c>
      <c r="D336" s="75" t="s">
        <v>444</v>
      </c>
      <c r="E336" s="86" t="str">
        <f>IFERROR(SUBTOTAL(1,E337:E344),"")</f>
        <v/>
      </c>
      <c r="F336" s="74">
        <f t="shared" si="10"/>
        <v>0</v>
      </c>
      <c r="G336" s="74">
        <f t="shared" si="11"/>
        <v>0</v>
      </c>
      <c r="H336" s="76">
        <f>MIN(H337:H344)</f>
        <v>0</v>
      </c>
      <c r="I336" s="76">
        <f>MAX(I337:I344)</f>
        <v>0</v>
      </c>
      <c r="J336" s="77"/>
    </row>
    <row r="337" spans="1:10" hidden="1" outlineLevel="3" x14ac:dyDescent="0.35">
      <c r="A337" s="78">
        <v>5</v>
      </c>
      <c r="B337" s="78" t="s">
        <v>385</v>
      </c>
      <c r="C337" s="78" t="s">
        <v>1589</v>
      </c>
      <c r="D337" s="79"/>
      <c r="E337" s="87"/>
      <c r="F337" s="80">
        <f t="shared" si="10"/>
        <v>0</v>
      </c>
      <c r="G337" s="80">
        <f t="shared" si="11"/>
        <v>0</v>
      </c>
      <c r="H337" s="81"/>
      <c r="I337" s="81"/>
      <c r="J337" s="82"/>
    </row>
    <row r="338" spans="1:10" hidden="1" outlineLevel="3" x14ac:dyDescent="0.35">
      <c r="A338" s="78">
        <v>5</v>
      </c>
      <c r="B338" s="78" t="s">
        <v>385</v>
      </c>
      <c r="C338" s="78" t="s">
        <v>1590</v>
      </c>
      <c r="D338" s="79"/>
      <c r="E338" s="87"/>
      <c r="F338" s="80">
        <f t="shared" si="10"/>
        <v>0</v>
      </c>
      <c r="G338" s="80">
        <f t="shared" si="11"/>
        <v>0</v>
      </c>
      <c r="H338" s="81"/>
      <c r="I338" s="81"/>
      <c r="J338" s="82"/>
    </row>
    <row r="339" spans="1:10" hidden="1" outlineLevel="3" x14ac:dyDescent="0.35">
      <c r="A339" s="78">
        <v>5</v>
      </c>
      <c r="B339" s="78" t="s">
        <v>385</v>
      </c>
      <c r="C339" s="78" t="s">
        <v>1591</v>
      </c>
      <c r="D339" s="79"/>
      <c r="E339" s="87"/>
      <c r="F339" s="80">
        <f t="shared" si="10"/>
        <v>0</v>
      </c>
      <c r="G339" s="80">
        <f t="shared" si="11"/>
        <v>0</v>
      </c>
      <c r="H339" s="81"/>
      <c r="I339" s="81"/>
      <c r="J339" s="82"/>
    </row>
    <row r="340" spans="1:10" hidden="1" outlineLevel="3" x14ac:dyDescent="0.35">
      <c r="A340" s="78">
        <v>5</v>
      </c>
      <c r="B340" s="78" t="s">
        <v>385</v>
      </c>
      <c r="C340" s="78" t="s">
        <v>1592</v>
      </c>
      <c r="D340" s="79"/>
      <c r="E340" s="87"/>
      <c r="F340" s="80">
        <f t="shared" si="10"/>
        <v>0</v>
      </c>
      <c r="G340" s="80">
        <f t="shared" si="11"/>
        <v>0</v>
      </c>
      <c r="H340" s="81"/>
      <c r="I340" s="81"/>
      <c r="J340" s="82"/>
    </row>
    <row r="341" spans="1:10" hidden="1" outlineLevel="3" x14ac:dyDescent="0.35">
      <c r="A341" s="78">
        <v>5</v>
      </c>
      <c r="B341" s="78" t="s">
        <v>385</v>
      </c>
      <c r="C341" s="78" t="s">
        <v>1593</v>
      </c>
      <c r="D341" s="79"/>
      <c r="E341" s="87"/>
      <c r="F341" s="80">
        <f t="shared" si="10"/>
        <v>0</v>
      </c>
      <c r="G341" s="80">
        <f t="shared" si="11"/>
        <v>0</v>
      </c>
      <c r="H341" s="81"/>
      <c r="I341" s="81"/>
      <c r="J341" s="82"/>
    </row>
    <row r="342" spans="1:10" hidden="1" outlineLevel="3" x14ac:dyDescent="0.35">
      <c r="A342" s="78">
        <v>5</v>
      </c>
      <c r="B342" s="78" t="s">
        <v>385</v>
      </c>
      <c r="C342" s="78" t="s">
        <v>1594</v>
      </c>
      <c r="D342" s="79"/>
      <c r="E342" s="87"/>
      <c r="F342" s="80">
        <f t="shared" si="10"/>
        <v>0</v>
      </c>
      <c r="G342" s="80">
        <f t="shared" si="11"/>
        <v>0</v>
      </c>
      <c r="H342" s="81"/>
      <c r="I342" s="81"/>
      <c r="J342" s="82"/>
    </row>
    <row r="343" spans="1:10" hidden="1" outlineLevel="3" x14ac:dyDescent="0.35">
      <c r="A343" s="78">
        <v>5</v>
      </c>
      <c r="B343" s="78" t="s">
        <v>385</v>
      </c>
      <c r="C343" s="78" t="s">
        <v>1595</v>
      </c>
      <c r="D343" s="79"/>
      <c r="E343" s="87"/>
      <c r="F343" s="80">
        <f t="shared" si="10"/>
        <v>0</v>
      </c>
      <c r="G343" s="80">
        <f t="shared" si="11"/>
        <v>0</v>
      </c>
      <c r="H343" s="81"/>
      <c r="I343" s="81"/>
      <c r="J343" s="82"/>
    </row>
    <row r="344" spans="1:10" hidden="1" outlineLevel="3" x14ac:dyDescent="0.35">
      <c r="A344" s="78">
        <v>5</v>
      </c>
      <c r="B344" s="78" t="s">
        <v>385</v>
      </c>
      <c r="C344" s="78" t="s">
        <v>1596</v>
      </c>
      <c r="D344" s="79"/>
      <c r="E344" s="87"/>
      <c r="F344" s="80">
        <f t="shared" si="10"/>
        <v>0</v>
      </c>
      <c r="G344" s="80">
        <f t="shared" si="11"/>
        <v>0</v>
      </c>
      <c r="H344" s="81"/>
      <c r="I344" s="81"/>
      <c r="J344" s="82"/>
    </row>
    <row r="345" spans="1:10" outlineLevel="1" collapsed="1" x14ac:dyDescent="0.35">
      <c r="A345" s="67">
        <v>3</v>
      </c>
      <c r="B345" s="67" t="s">
        <v>298</v>
      </c>
      <c r="C345" s="67" t="s">
        <v>693</v>
      </c>
      <c r="D345" s="73" t="s">
        <v>694</v>
      </c>
      <c r="E345" s="85" t="str">
        <f>IFERROR(AVERAGE(E346,E358,E367,E376,E385,E394),"")</f>
        <v/>
      </c>
      <c r="F345" s="67">
        <f t="shared" si="10"/>
        <v>0</v>
      </c>
      <c r="G345" s="67">
        <f t="shared" si="11"/>
        <v>0</v>
      </c>
      <c r="H345" s="72">
        <f>MIN(H346,H358,H367,H376,H385,H394)</f>
        <v>0</v>
      </c>
      <c r="I345" s="72">
        <f>MAX(I346,I358,I367,I376,I385,I394)</f>
        <v>0</v>
      </c>
      <c r="J345" s="71"/>
    </row>
    <row r="346" spans="1:10" hidden="1" outlineLevel="2" collapsed="1" x14ac:dyDescent="0.35">
      <c r="A346" s="74">
        <v>4</v>
      </c>
      <c r="B346" s="74" t="s">
        <v>392</v>
      </c>
      <c r="C346" s="74" t="s">
        <v>695</v>
      </c>
      <c r="D346" s="75" t="s">
        <v>394</v>
      </c>
      <c r="E346" s="86" t="str">
        <f>IFERROR(SUBTOTAL(1,E347:E357),"")</f>
        <v/>
      </c>
      <c r="F346" s="74">
        <f t="shared" si="10"/>
        <v>0</v>
      </c>
      <c r="G346" s="74">
        <f t="shared" si="11"/>
        <v>0</v>
      </c>
      <c r="H346" s="76">
        <f>MIN(H347:H357)</f>
        <v>0</v>
      </c>
      <c r="I346" s="76">
        <f>MAX(I347:I357)</f>
        <v>0</v>
      </c>
      <c r="J346" s="77"/>
    </row>
    <row r="347" spans="1:10" hidden="1" outlineLevel="3" x14ac:dyDescent="0.35">
      <c r="A347" s="78">
        <v>5</v>
      </c>
      <c r="B347" s="78" t="s">
        <v>385</v>
      </c>
      <c r="C347" s="78" t="s">
        <v>696</v>
      </c>
      <c r="D347" s="79" t="s">
        <v>322</v>
      </c>
      <c r="E347" s="87"/>
      <c r="F347" s="80">
        <f t="shared" si="10"/>
        <v>0</v>
      </c>
      <c r="G347" s="80">
        <f t="shared" si="11"/>
        <v>0</v>
      </c>
      <c r="H347" s="81"/>
      <c r="I347" s="81"/>
      <c r="J347" s="82"/>
    </row>
    <row r="348" spans="1:10" hidden="1" outlineLevel="3" x14ac:dyDescent="0.35">
      <c r="A348" s="78">
        <v>5</v>
      </c>
      <c r="B348" s="78" t="s">
        <v>385</v>
      </c>
      <c r="C348" s="78" t="s">
        <v>697</v>
      </c>
      <c r="D348" s="79" t="s">
        <v>323</v>
      </c>
      <c r="E348" s="87"/>
      <c r="F348" s="80">
        <f t="shared" si="10"/>
        <v>0</v>
      </c>
      <c r="G348" s="80">
        <f t="shared" si="11"/>
        <v>0</v>
      </c>
      <c r="H348" s="81"/>
      <c r="I348" s="81"/>
      <c r="J348" s="82"/>
    </row>
    <row r="349" spans="1:10" hidden="1" outlineLevel="3" x14ac:dyDescent="0.35">
      <c r="A349" s="78">
        <v>5</v>
      </c>
      <c r="B349" s="78" t="s">
        <v>385</v>
      </c>
      <c r="C349" s="78" t="s">
        <v>698</v>
      </c>
      <c r="D349" s="79" t="s">
        <v>324</v>
      </c>
      <c r="E349" s="87"/>
      <c r="F349" s="80">
        <f t="shared" si="10"/>
        <v>0</v>
      </c>
      <c r="G349" s="80">
        <f t="shared" si="11"/>
        <v>0</v>
      </c>
      <c r="H349" s="81"/>
      <c r="I349" s="81"/>
      <c r="J349" s="82"/>
    </row>
    <row r="350" spans="1:10" hidden="1" outlineLevel="3" x14ac:dyDescent="0.35">
      <c r="A350" s="78">
        <v>5</v>
      </c>
      <c r="B350" s="78" t="s">
        <v>385</v>
      </c>
      <c r="C350" s="78" t="s">
        <v>699</v>
      </c>
      <c r="D350" s="79" t="s">
        <v>328</v>
      </c>
      <c r="E350" s="87"/>
      <c r="F350" s="80">
        <f t="shared" si="10"/>
        <v>0</v>
      </c>
      <c r="G350" s="80">
        <f t="shared" si="11"/>
        <v>0</v>
      </c>
      <c r="H350" s="81"/>
      <c r="I350" s="81"/>
      <c r="J350" s="82"/>
    </row>
    <row r="351" spans="1:10" hidden="1" outlineLevel="3" x14ac:dyDescent="0.35">
      <c r="A351" s="78">
        <v>5</v>
      </c>
      <c r="B351" s="78" t="s">
        <v>385</v>
      </c>
      <c r="C351" s="78" t="s">
        <v>700</v>
      </c>
      <c r="D351" s="79" t="s">
        <v>332</v>
      </c>
      <c r="E351" s="87"/>
      <c r="F351" s="80">
        <f t="shared" si="10"/>
        <v>0</v>
      </c>
      <c r="G351" s="80">
        <f t="shared" si="11"/>
        <v>0</v>
      </c>
      <c r="H351" s="81"/>
      <c r="I351" s="81"/>
      <c r="J351" s="82"/>
    </row>
    <row r="352" spans="1:10" hidden="1" outlineLevel="3" x14ac:dyDescent="0.35">
      <c r="A352" s="78">
        <v>5</v>
      </c>
      <c r="B352" s="78" t="s">
        <v>385</v>
      </c>
      <c r="C352" s="78" t="s">
        <v>701</v>
      </c>
      <c r="D352" s="79" t="s">
        <v>334</v>
      </c>
      <c r="E352" s="87"/>
      <c r="F352" s="80">
        <f t="shared" si="10"/>
        <v>0</v>
      </c>
      <c r="G352" s="80">
        <f t="shared" si="11"/>
        <v>0</v>
      </c>
      <c r="H352" s="81"/>
      <c r="I352" s="81"/>
      <c r="J352" s="82"/>
    </row>
    <row r="353" spans="1:10" hidden="1" outlineLevel="3" x14ac:dyDescent="0.35">
      <c r="A353" s="78">
        <v>5</v>
      </c>
      <c r="B353" s="78" t="s">
        <v>385</v>
      </c>
      <c r="C353" s="78" t="s">
        <v>702</v>
      </c>
      <c r="D353" s="79" t="s">
        <v>337</v>
      </c>
      <c r="E353" s="87"/>
      <c r="F353" s="80">
        <f t="shared" si="10"/>
        <v>0</v>
      </c>
      <c r="G353" s="80">
        <f t="shared" si="11"/>
        <v>0</v>
      </c>
      <c r="H353" s="81"/>
      <c r="I353" s="81"/>
      <c r="J353" s="82"/>
    </row>
    <row r="354" spans="1:10" hidden="1" outlineLevel="3" x14ac:dyDescent="0.35">
      <c r="A354" s="78">
        <v>5</v>
      </c>
      <c r="B354" s="78" t="s">
        <v>385</v>
      </c>
      <c r="C354" s="78" t="s">
        <v>703</v>
      </c>
      <c r="D354" s="79" t="s">
        <v>328</v>
      </c>
      <c r="E354" s="87"/>
      <c r="F354" s="80">
        <f t="shared" si="10"/>
        <v>0</v>
      </c>
      <c r="G354" s="80">
        <f t="shared" si="11"/>
        <v>0</v>
      </c>
      <c r="H354" s="81"/>
      <c r="I354" s="81"/>
      <c r="J354" s="82"/>
    </row>
    <row r="355" spans="1:10" hidden="1" outlineLevel="3" x14ac:dyDescent="0.35">
      <c r="A355" s="78">
        <v>5</v>
      </c>
      <c r="B355" s="78" t="s">
        <v>385</v>
      </c>
      <c r="C355" s="78" t="s">
        <v>1637</v>
      </c>
      <c r="D355" s="79" t="s">
        <v>332</v>
      </c>
      <c r="E355" s="87"/>
      <c r="F355" s="80">
        <f t="shared" si="10"/>
        <v>0</v>
      </c>
      <c r="G355" s="80">
        <f t="shared" si="11"/>
        <v>0</v>
      </c>
      <c r="H355" s="81"/>
      <c r="I355" s="81"/>
      <c r="J355" s="82"/>
    </row>
    <row r="356" spans="1:10" hidden="1" outlineLevel="3" x14ac:dyDescent="0.35">
      <c r="A356" s="78">
        <v>5</v>
      </c>
      <c r="B356" s="78" t="s">
        <v>385</v>
      </c>
      <c r="C356" s="78" t="s">
        <v>1638</v>
      </c>
      <c r="D356" s="79" t="s">
        <v>334</v>
      </c>
      <c r="E356" s="87"/>
      <c r="F356" s="80">
        <f t="shared" si="10"/>
        <v>0</v>
      </c>
      <c r="G356" s="80">
        <f t="shared" si="11"/>
        <v>0</v>
      </c>
      <c r="H356" s="81"/>
      <c r="I356" s="81"/>
      <c r="J356" s="82"/>
    </row>
    <row r="357" spans="1:10" hidden="1" outlineLevel="3" x14ac:dyDescent="0.35">
      <c r="A357" s="78">
        <v>5</v>
      </c>
      <c r="B357" s="78" t="s">
        <v>385</v>
      </c>
      <c r="C357" s="78" t="s">
        <v>1639</v>
      </c>
      <c r="D357" s="79" t="s">
        <v>337</v>
      </c>
      <c r="E357" s="87"/>
      <c r="F357" s="80">
        <f t="shared" si="10"/>
        <v>0</v>
      </c>
      <c r="G357" s="80">
        <f t="shared" si="11"/>
        <v>0</v>
      </c>
      <c r="H357" s="81"/>
      <c r="I357" s="81"/>
      <c r="J357" s="82"/>
    </row>
    <row r="358" spans="1:10" hidden="1" outlineLevel="2" collapsed="1" x14ac:dyDescent="0.35">
      <c r="A358" s="74">
        <v>4</v>
      </c>
      <c r="B358" s="74" t="s">
        <v>392</v>
      </c>
      <c r="C358" s="74" t="s">
        <v>704</v>
      </c>
      <c r="D358" s="75" t="s">
        <v>404</v>
      </c>
      <c r="E358" s="86" t="str">
        <f>IFERROR(SUBTOTAL(1,E359:E366),"")</f>
        <v/>
      </c>
      <c r="F358" s="74">
        <f t="shared" si="10"/>
        <v>0</v>
      </c>
      <c r="G358" s="74">
        <f t="shared" si="11"/>
        <v>0</v>
      </c>
      <c r="H358" s="76">
        <f>MIN(H359:H366)</f>
        <v>0</v>
      </c>
      <c r="I358" s="76">
        <f>MAX(I359:I366)</f>
        <v>0</v>
      </c>
      <c r="J358" s="77"/>
    </row>
    <row r="359" spans="1:10" hidden="1" outlineLevel="3" x14ac:dyDescent="0.35">
      <c r="A359" s="78">
        <v>5</v>
      </c>
      <c r="B359" s="78" t="s">
        <v>385</v>
      </c>
      <c r="C359" s="78" t="s">
        <v>705</v>
      </c>
      <c r="D359" s="79" t="s">
        <v>330</v>
      </c>
      <c r="E359" s="87"/>
      <c r="F359" s="80">
        <f t="shared" si="10"/>
        <v>0</v>
      </c>
      <c r="G359" s="80">
        <f t="shared" si="11"/>
        <v>0</v>
      </c>
      <c r="H359" s="81"/>
      <c r="I359" s="81"/>
      <c r="J359" s="82"/>
    </row>
    <row r="360" spans="1:10" hidden="1" outlineLevel="3" x14ac:dyDescent="0.35">
      <c r="A360" s="78">
        <v>5</v>
      </c>
      <c r="B360" s="78" t="s">
        <v>385</v>
      </c>
      <c r="C360" s="78" t="s">
        <v>706</v>
      </c>
      <c r="D360" s="79" t="s">
        <v>333</v>
      </c>
      <c r="E360" s="87"/>
      <c r="F360" s="80">
        <f t="shared" si="10"/>
        <v>0</v>
      </c>
      <c r="G360" s="80">
        <f t="shared" si="11"/>
        <v>0</v>
      </c>
      <c r="H360" s="81"/>
      <c r="I360" s="81"/>
      <c r="J360" s="82"/>
    </row>
    <row r="361" spans="1:10" hidden="1" outlineLevel="3" x14ac:dyDescent="0.35">
      <c r="A361" s="78">
        <v>5</v>
      </c>
      <c r="B361" s="78" t="s">
        <v>385</v>
      </c>
      <c r="C361" s="78" t="s">
        <v>707</v>
      </c>
      <c r="D361" s="79" t="s">
        <v>336</v>
      </c>
      <c r="E361" s="87"/>
      <c r="F361" s="80">
        <f t="shared" si="10"/>
        <v>0</v>
      </c>
      <c r="G361" s="80">
        <f t="shared" si="11"/>
        <v>0</v>
      </c>
      <c r="H361" s="81"/>
      <c r="I361" s="81"/>
      <c r="J361" s="82"/>
    </row>
    <row r="362" spans="1:10" hidden="1" outlineLevel="3" x14ac:dyDescent="0.35">
      <c r="A362" s="78">
        <v>5</v>
      </c>
      <c r="B362" s="78" t="s">
        <v>385</v>
      </c>
      <c r="C362" s="78" t="s">
        <v>708</v>
      </c>
      <c r="D362" s="79" t="s">
        <v>330</v>
      </c>
      <c r="E362" s="87"/>
      <c r="F362" s="80">
        <f t="shared" si="10"/>
        <v>0</v>
      </c>
      <c r="G362" s="80">
        <f t="shared" si="11"/>
        <v>0</v>
      </c>
      <c r="H362" s="81"/>
      <c r="I362" s="81"/>
      <c r="J362" s="82"/>
    </row>
    <row r="363" spans="1:10" hidden="1" outlineLevel="3" x14ac:dyDescent="0.35">
      <c r="A363" s="78">
        <v>5</v>
      </c>
      <c r="B363" s="78" t="s">
        <v>385</v>
      </c>
      <c r="C363" s="78" t="s">
        <v>709</v>
      </c>
      <c r="D363" s="79" t="s">
        <v>333</v>
      </c>
      <c r="E363" s="87"/>
      <c r="F363" s="80">
        <f t="shared" si="10"/>
        <v>0</v>
      </c>
      <c r="G363" s="80">
        <f t="shared" si="11"/>
        <v>0</v>
      </c>
      <c r="H363" s="81"/>
      <c r="I363" s="81"/>
      <c r="J363" s="82"/>
    </row>
    <row r="364" spans="1:10" hidden="1" outlineLevel="3" x14ac:dyDescent="0.35">
      <c r="A364" s="78">
        <v>5</v>
      </c>
      <c r="B364" s="78" t="s">
        <v>385</v>
      </c>
      <c r="C364" s="78" t="s">
        <v>710</v>
      </c>
      <c r="D364" s="79" t="s">
        <v>336</v>
      </c>
      <c r="E364" s="87"/>
      <c r="F364" s="80">
        <f t="shared" si="10"/>
        <v>0</v>
      </c>
      <c r="G364" s="80">
        <f t="shared" si="11"/>
        <v>0</v>
      </c>
      <c r="H364" s="81"/>
      <c r="I364" s="81"/>
      <c r="J364" s="82"/>
    </row>
    <row r="365" spans="1:10" hidden="1" outlineLevel="3" x14ac:dyDescent="0.35">
      <c r="A365" s="78">
        <v>5</v>
      </c>
      <c r="B365" s="78" t="s">
        <v>385</v>
      </c>
      <c r="C365" s="78" t="s">
        <v>711</v>
      </c>
      <c r="D365" s="79"/>
      <c r="E365" s="87"/>
      <c r="F365" s="80">
        <f t="shared" si="10"/>
        <v>0</v>
      </c>
      <c r="G365" s="80">
        <f t="shared" si="11"/>
        <v>0</v>
      </c>
      <c r="H365" s="81"/>
      <c r="I365" s="81"/>
      <c r="J365" s="82"/>
    </row>
    <row r="366" spans="1:10" hidden="1" outlineLevel="3" x14ac:dyDescent="0.35">
      <c r="A366" s="78">
        <v>5</v>
      </c>
      <c r="B366" s="78" t="s">
        <v>385</v>
      </c>
      <c r="C366" s="78" t="s">
        <v>712</v>
      </c>
      <c r="D366" s="79"/>
      <c r="E366" s="87"/>
      <c r="F366" s="80">
        <f t="shared" si="10"/>
        <v>0</v>
      </c>
      <c r="G366" s="80">
        <f t="shared" si="11"/>
        <v>0</v>
      </c>
      <c r="H366" s="81"/>
      <c r="I366" s="81"/>
      <c r="J366" s="82"/>
    </row>
    <row r="367" spans="1:10" hidden="1" outlineLevel="2" collapsed="1" x14ac:dyDescent="0.35">
      <c r="A367" s="74">
        <v>4</v>
      </c>
      <c r="B367" s="74" t="s">
        <v>392</v>
      </c>
      <c r="C367" s="74" t="s">
        <v>713</v>
      </c>
      <c r="D367" s="75" t="s">
        <v>414</v>
      </c>
      <c r="E367" s="86" t="str">
        <f>IFERROR(SUBTOTAL(1,E368:E375),"")</f>
        <v/>
      </c>
      <c r="F367" s="74">
        <f t="shared" si="10"/>
        <v>0</v>
      </c>
      <c r="G367" s="74">
        <f t="shared" si="11"/>
        <v>0</v>
      </c>
      <c r="H367" s="76">
        <f>MIN(H368:H375)</f>
        <v>0</v>
      </c>
      <c r="I367" s="76">
        <f>MAX(I368:I375)</f>
        <v>0</v>
      </c>
      <c r="J367" s="77"/>
    </row>
    <row r="368" spans="1:10" hidden="1" outlineLevel="3" x14ac:dyDescent="0.35">
      <c r="A368" s="78">
        <v>5</v>
      </c>
      <c r="B368" s="78" t="s">
        <v>385</v>
      </c>
      <c r="C368" s="78" t="s">
        <v>714</v>
      </c>
      <c r="D368" s="79" t="s">
        <v>335</v>
      </c>
      <c r="E368" s="87"/>
      <c r="F368" s="80">
        <f t="shared" si="10"/>
        <v>0</v>
      </c>
      <c r="G368" s="80">
        <f t="shared" si="11"/>
        <v>0</v>
      </c>
      <c r="H368" s="81"/>
      <c r="I368" s="81"/>
      <c r="J368" s="82"/>
    </row>
    <row r="369" spans="1:10" hidden="1" outlineLevel="3" x14ac:dyDescent="0.35">
      <c r="A369" s="78">
        <v>5</v>
      </c>
      <c r="B369" s="78" t="s">
        <v>385</v>
      </c>
      <c r="C369" s="78" t="s">
        <v>715</v>
      </c>
      <c r="D369" s="79" t="s">
        <v>335</v>
      </c>
      <c r="E369" s="87"/>
      <c r="F369" s="80">
        <f t="shared" si="10"/>
        <v>0</v>
      </c>
      <c r="G369" s="80">
        <f t="shared" si="11"/>
        <v>0</v>
      </c>
      <c r="H369" s="81"/>
      <c r="I369" s="81"/>
      <c r="J369" s="82"/>
    </row>
    <row r="370" spans="1:10" hidden="1" outlineLevel="3" x14ac:dyDescent="0.35">
      <c r="A370" s="78">
        <v>5</v>
      </c>
      <c r="B370" s="78" t="s">
        <v>385</v>
      </c>
      <c r="C370" s="78" t="s">
        <v>716</v>
      </c>
      <c r="D370" s="79"/>
      <c r="E370" s="87"/>
      <c r="F370" s="80">
        <f t="shared" si="10"/>
        <v>0</v>
      </c>
      <c r="G370" s="80">
        <f t="shared" si="11"/>
        <v>0</v>
      </c>
      <c r="H370" s="81"/>
      <c r="I370" s="81"/>
      <c r="J370" s="82"/>
    </row>
    <row r="371" spans="1:10" hidden="1" outlineLevel="3" x14ac:dyDescent="0.35">
      <c r="A371" s="78">
        <v>5</v>
      </c>
      <c r="B371" s="78" t="s">
        <v>385</v>
      </c>
      <c r="C371" s="78" t="s">
        <v>717</v>
      </c>
      <c r="D371" s="79"/>
      <c r="E371" s="87"/>
      <c r="F371" s="80">
        <f t="shared" si="10"/>
        <v>0</v>
      </c>
      <c r="G371" s="80">
        <f t="shared" si="11"/>
        <v>0</v>
      </c>
      <c r="H371" s="81"/>
      <c r="I371" s="81"/>
      <c r="J371" s="82"/>
    </row>
    <row r="372" spans="1:10" hidden="1" outlineLevel="3" x14ac:dyDescent="0.35">
      <c r="A372" s="78">
        <v>5</v>
      </c>
      <c r="B372" s="78" t="s">
        <v>385</v>
      </c>
      <c r="C372" s="78" t="s">
        <v>718</v>
      </c>
      <c r="D372" s="79"/>
      <c r="E372" s="87"/>
      <c r="F372" s="80">
        <f t="shared" si="10"/>
        <v>0</v>
      </c>
      <c r="G372" s="80">
        <f t="shared" si="11"/>
        <v>0</v>
      </c>
      <c r="H372" s="81"/>
      <c r="I372" s="81"/>
      <c r="J372" s="82"/>
    </row>
    <row r="373" spans="1:10" hidden="1" outlineLevel="3" x14ac:dyDescent="0.35">
      <c r="A373" s="78">
        <v>5</v>
      </c>
      <c r="B373" s="78" t="s">
        <v>385</v>
      </c>
      <c r="C373" s="78" t="s">
        <v>719</v>
      </c>
      <c r="D373" s="79"/>
      <c r="E373" s="87"/>
      <c r="F373" s="80">
        <f t="shared" si="10"/>
        <v>0</v>
      </c>
      <c r="G373" s="80">
        <f t="shared" si="11"/>
        <v>0</v>
      </c>
      <c r="H373" s="81"/>
      <c r="I373" s="81"/>
      <c r="J373" s="82"/>
    </row>
    <row r="374" spans="1:10" hidden="1" outlineLevel="3" x14ac:dyDescent="0.35">
      <c r="A374" s="78">
        <v>5</v>
      </c>
      <c r="B374" s="78" t="s">
        <v>385</v>
      </c>
      <c r="C374" s="78" t="s">
        <v>720</v>
      </c>
      <c r="D374" s="79"/>
      <c r="E374" s="87"/>
      <c r="F374" s="80">
        <f t="shared" si="10"/>
        <v>0</v>
      </c>
      <c r="G374" s="80">
        <f t="shared" si="11"/>
        <v>0</v>
      </c>
      <c r="H374" s="81"/>
      <c r="I374" s="81"/>
      <c r="J374" s="82"/>
    </row>
    <row r="375" spans="1:10" hidden="1" outlineLevel="3" x14ac:dyDescent="0.35">
      <c r="A375" s="78">
        <v>5</v>
      </c>
      <c r="B375" s="78" t="s">
        <v>385</v>
      </c>
      <c r="C375" s="78" t="s">
        <v>721</v>
      </c>
      <c r="D375" s="79"/>
      <c r="E375" s="87"/>
      <c r="F375" s="80">
        <f t="shared" si="10"/>
        <v>0</v>
      </c>
      <c r="G375" s="80">
        <f t="shared" si="11"/>
        <v>0</v>
      </c>
      <c r="H375" s="81"/>
      <c r="I375" s="81"/>
      <c r="J375" s="82"/>
    </row>
    <row r="376" spans="1:10" hidden="1" outlineLevel="2" collapsed="1" x14ac:dyDescent="0.35">
      <c r="A376" s="74">
        <v>4</v>
      </c>
      <c r="B376" s="74" t="s">
        <v>392</v>
      </c>
      <c r="C376" s="74" t="s">
        <v>722</v>
      </c>
      <c r="D376" s="75" t="s">
        <v>424</v>
      </c>
      <c r="E376" s="86" t="str">
        <f>IFERROR(SUBTOTAL(1,E377:E384),"")</f>
        <v/>
      </c>
      <c r="F376" s="74">
        <f t="shared" si="10"/>
        <v>0</v>
      </c>
      <c r="G376" s="74">
        <f t="shared" si="11"/>
        <v>0</v>
      </c>
      <c r="H376" s="76">
        <f>MIN(H377:H384)</f>
        <v>0</v>
      </c>
      <c r="I376" s="76">
        <f>MAX(I377:I384)</f>
        <v>0</v>
      </c>
      <c r="J376" s="77"/>
    </row>
    <row r="377" spans="1:10" hidden="1" outlineLevel="3" x14ac:dyDescent="0.35">
      <c r="A377" s="78">
        <v>5</v>
      </c>
      <c r="B377" s="78" t="s">
        <v>385</v>
      </c>
      <c r="C377" s="78" t="s">
        <v>723</v>
      </c>
      <c r="D377" s="79"/>
      <c r="E377" s="87"/>
      <c r="F377" s="80">
        <f t="shared" si="10"/>
        <v>0</v>
      </c>
      <c r="G377" s="80">
        <f t="shared" si="11"/>
        <v>0</v>
      </c>
      <c r="H377" s="81"/>
      <c r="I377" s="81"/>
      <c r="J377" s="82"/>
    </row>
    <row r="378" spans="1:10" hidden="1" outlineLevel="3" x14ac:dyDescent="0.35">
      <c r="A378" s="78">
        <v>5</v>
      </c>
      <c r="B378" s="78" t="s">
        <v>385</v>
      </c>
      <c r="C378" s="78" t="s">
        <v>724</v>
      </c>
      <c r="D378" s="79"/>
      <c r="E378" s="87"/>
      <c r="F378" s="80">
        <f t="shared" si="10"/>
        <v>0</v>
      </c>
      <c r="G378" s="80">
        <f t="shared" si="11"/>
        <v>0</v>
      </c>
      <c r="H378" s="81"/>
      <c r="I378" s="81"/>
      <c r="J378" s="82"/>
    </row>
    <row r="379" spans="1:10" hidden="1" outlineLevel="3" x14ac:dyDescent="0.35">
      <c r="A379" s="78">
        <v>5</v>
      </c>
      <c r="B379" s="78" t="s">
        <v>385</v>
      </c>
      <c r="C379" s="78" t="s">
        <v>725</v>
      </c>
      <c r="D379" s="79"/>
      <c r="E379" s="87"/>
      <c r="F379" s="80">
        <f t="shared" si="10"/>
        <v>0</v>
      </c>
      <c r="G379" s="80">
        <f t="shared" si="11"/>
        <v>0</v>
      </c>
      <c r="H379" s="81"/>
      <c r="I379" s="81"/>
      <c r="J379" s="82"/>
    </row>
    <row r="380" spans="1:10" hidden="1" outlineLevel="3" x14ac:dyDescent="0.35">
      <c r="A380" s="78">
        <v>5</v>
      </c>
      <c r="B380" s="78" t="s">
        <v>385</v>
      </c>
      <c r="C380" s="78" t="s">
        <v>726</v>
      </c>
      <c r="D380" s="79"/>
      <c r="E380" s="87"/>
      <c r="F380" s="80">
        <f t="shared" si="10"/>
        <v>0</v>
      </c>
      <c r="G380" s="80">
        <f t="shared" si="11"/>
        <v>0</v>
      </c>
      <c r="H380" s="81"/>
      <c r="I380" s="81"/>
      <c r="J380" s="82"/>
    </row>
    <row r="381" spans="1:10" hidden="1" outlineLevel="3" x14ac:dyDescent="0.35">
      <c r="A381" s="78">
        <v>5</v>
      </c>
      <c r="B381" s="78" t="s">
        <v>385</v>
      </c>
      <c r="C381" s="78" t="s">
        <v>727</v>
      </c>
      <c r="D381" s="79"/>
      <c r="E381" s="87"/>
      <c r="F381" s="80">
        <f t="shared" si="10"/>
        <v>0</v>
      </c>
      <c r="G381" s="80">
        <f t="shared" si="11"/>
        <v>0</v>
      </c>
      <c r="H381" s="81"/>
      <c r="I381" s="81"/>
      <c r="J381" s="82"/>
    </row>
    <row r="382" spans="1:10" hidden="1" outlineLevel="3" x14ac:dyDescent="0.35">
      <c r="A382" s="78">
        <v>5</v>
      </c>
      <c r="B382" s="78" t="s">
        <v>385</v>
      </c>
      <c r="C382" s="78" t="s">
        <v>728</v>
      </c>
      <c r="D382" s="79"/>
      <c r="E382" s="87"/>
      <c r="F382" s="80">
        <f t="shared" si="10"/>
        <v>0</v>
      </c>
      <c r="G382" s="80">
        <f t="shared" si="11"/>
        <v>0</v>
      </c>
      <c r="H382" s="81"/>
      <c r="I382" s="81"/>
      <c r="J382" s="82"/>
    </row>
    <row r="383" spans="1:10" hidden="1" outlineLevel="3" x14ac:dyDescent="0.35">
      <c r="A383" s="78">
        <v>5</v>
      </c>
      <c r="B383" s="78" t="s">
        <v>385</v>
      </c>
      <c r="C383" s="78" t="s">
        <v>729</v>
      </c>
      <c r="D383" s="79"/>
      <c r="E383" s="87"/>
      <c r="F383" s="80">
        <f t="shared" si="10"/>
        <v>0</v>
      </c>
      <c r="G383" s="80">
        <f t="shared" si="11"/>
        <v>0</v>
      </c>
      <c r="H383" s="81"/>
      <c r="I383" s="81"/>
      <c r="J383" s="82"/>
    </row>
    <row r="384" spans="1:10" hidden="1" outlineLevel="3" x14ac:dyDescent="0.35">
      <c r="A384" s="78">
        <v>5</v>
      </c>
      <c r="B384" s="78" t="s">
        <v>385</v>
      </c>
      <c r="C384" s="78" t="s">
        <v>730</v>
      </c>
      <c r="D384" s="79"/>
      <c r="E384" s="87"/>
      <c r="F384" s="80">
        <f t="shared" si="10"/>
        <v>0</v>
      </c>
      <c r="G384" s="80">
        <f t="shared" si="11"/>
        <v>0</v>
      </c>
      <c r="H384" s="81"/>
      <c r="I384" s="81"/>
      <c r="J384" s="82"/>
    </row>
    <row r="385" spans="1:10" hidden="1" outlineLevel="2" collapsed="1" x14ac:dyDescent="0.35">
      <c r="A385" s="74">
        <v>4</v>
      </c>
      <c r="B385" s="74" t="s">
        <v>392</v>
      </c>
      <c r="C385" s="74" t="s">
        <v>731</v>
      </c>
      <c r="D385" s="75" t="s">
        <v>434</v>
      </c>
      <c r="E385" s="86" t="str">
        <f>IFERROR(SUBTOTAL(1,E386:E393),"")</f>
        <v/>
      </c>
      <c r="F385" s="74">
        <f t="shared" si="10"/>
        <v>0</v>
      </c>
      <c r="G385" s="74">
        <f t="shared" si="11"/>
        <v>0</v>
      </c>
      <c r="H385" s="76">
        <f>MIN(H386:H393)</f>
        <v>0</v>
      </c>
      <c r="I385" s="76">
        <f>MAX(I386:I393)</f>
        <v>0</v>
      </c>
      <c r="J385" s="77"/>
    </row>
    <row r="386" spans="1:10" hidden="1" outlineLevel="3" x14ac:dyDescent="0.35">
      <c r="A386" s="78">
        <v>5</v>
      </c>
      <c r="B386" s="78" t="s">
        <v>385</v>
      </c>
      <c r="C386" s="78" t="s">
        <v>732</v>
      </c>
      <c r="D386" s="79" t="s">
        <v>329</v>
      </c>
      <c r="E386" s="87"/>
      <c r="F386" s="80">
        <f t="shared" si="10"/>
        <v>0</v>
      </c>
      <c r="G386" s="80">
        <f t="shared" si="11"/>
        <v>0</v>
      </c>
      <c r="H386" s="81"/>
      <c r="I386" s="81"/>
      <c r="J386" s="82"/>
    </row>
    <row r="387" spans="1:10" hidden="1" outlineLevel="3" x14ac:dyDescent="0.35">
      <c r="A387" s="78">
        <v>5</v>
      </c>
      <c r="B387" s="78" t="s">
        <v>385</v>
      </c>
      <c r="C387" s="78" t="s">
        <v>733</v>
      </c>
      <c r="D387" s="79" t="s">
        <v>331</v>
      </c>
      <c r="E387" s="87"/>
      <c r="F387" s="80">
        <f t="shared" si="10"/>
        <v>0</v>
      </c>
      <c r="G387" s="80">
        <f t="shared" si="11"/>
        <v>0</v>
      </c>
      <c r="H387" s="81"/>
      <c r="I387" s="81"/>
      <c r="J387" s="82"/>
    </row>
    <row r="388" spans="1:10" hidden="1" outlineLevel="3" x14ac:dyDescent="0.35">
      <c r="A388" s="78">
        <v>5</v>
      </c>
      <c r="B388" s="78" t="s">
        <v>385</v>
      </c>
      <c r="C388" s="78" t="s">
        <v>734</v>
      </c>
      <c r="D388" s="79" t="s">
        <v>329</v>
      </c>
      <c r="E388" s="87"/>
      <c r="F388" s="80">
        <f t="shared" si="10"/>
        <v>0</v>
      </c>
      <c r="G388" s="80">
        <f t="shared" si="11"/>
        <v>0</v>
      </c>
      <c r="H388" s="81"/>
      <c r="I388" s="81"/>
      <c r="J388" s="82"/>
    </row>
    <row r="389" spans="1:10" hidden="1" outlineLevel="3" x14ac:dyDescent="0.35">
      <c r="A389" s="78">
        <v>5</v>
      </c>
      <c r="B389" s="78" t="s">
        <v>385</v>
      </c>
      <c r="C389" s="78" t="s">
        <v>735</v>
      </c>
      <c r="D389" s="79" t="s">
        <v>331</v>
      </c>
      <c r="E389" s="87"/>
      <c r="F389" s="80">
        <f t="shared" si="10"/>
        <v>0</v>
      </c>
      <c r="G389" s="80">
        <f t="shared" si="11"/>
        <v>0</v>
      </c>
      <c r="H389" s="81"/>
      <c r="I389" s="81"/>
      <c r="J389" s="82"/>
    </row>
    <row r="390" spans="1:10" hidden="1" outlineLevel="3" x14ac:dyDescent="0.35">
      <c r="A390" s="78">
        <v>5</v>
      </c>
      <c r="B390" s="78" t="s">
        <v>385</v>
      </c>
      <c r="C390" s="78" t="s">
        <v>736</v>
      </c>
      <c r="D390" s="79"/>
      <c r="E390" s="87"/>
      <c r="F390" s="80">
        <f t="shared" ref="F390:F453" si="12">IFERROR(DATEDIF(H390,I390,"D"),0)</f>
        <v>0</v>
      </c>
      <c r="G390" s="80">
        <f t="shared" ref="G390:G453" si="13">IFERROR(NETWORKDAYS.INTL(H390,I390),0)</f>
        <v>0</v>
      </c>
      <c r="H390" s="81"/>
      <c r="I390" s="81"/>
      <c r="J390" s="82"/>
    </row>
    <row r="391" spans="1:10" hidden="1" outlineLevel="3" x14ac:dyDescent="0.35">
      <c r="A391" s="78">
        <v>5</v>
      </c>
      <c r="B391" s="78" t="s">
        <v>385</v>
      </c>
      <c r="C391" s="78" t="s">
        <v>737</v>
      </c>
      <c r="D391" s="79"/>
      <c r="E391" s="87"/>
      <c r="F391" s="80">
        <f t="shared" si="12"/>
        <v>0</v>
      </c>
      <c r="G391" s="80">
        <f t="shared" si="13"/>
        <v>0</v>
      </c>
      <c r="H391" s="81"/>
      <c r="I391" s="81"/>
      <c r="J391" s="82"/>
    </row>
    <row r="392" spans="1:10" hidden="1" outlineLevel="3" x14ac:dyDescent="0.35">
      <c r="A392" s="78">
        <v>5</v>
      </c>
      <c r="B392" s="78" t="s">
        <v>385</v>
      </c>
      <c r="C392" s="78" t="s">
        <v>738</v>
      </c>
      <c r="D392" s="79"/>
      <c r="E392" s="87"/>
      <c r="F392" s="80">
        <f t="shared" si="12"/>
        <v>0</v>
      </c>
      <c r="G392" s="80">
        <f t="shared" si="13"/>
        <v>0</v>
      </c>
      <c r="H392" s="81"/>
      <c r="I392" s="81"/>
      <c r="J392" s="82"/>
    </row>
    <row r="393" spans="1:10" hidden="1" outlineLevel="3" x14ac:dyDescent="0.35">
      <c r="A393" s="78">
        <v>5</v>
      </c>
      <c r="B393" s="78" t="s">
        <v>385</v>
      </c>
      <c r="C393" s="78" t="s">
        <v>739</v>
      </c>
      <c r="D393" s="79"/>
      <c r="E393" s="87"/>
      <c r="F393" s="80">
        <f t="shared" si="12"/>
        <v>0</v>
      </c>
      <c r="G393" s="80">
        <f t="shared" si="13"/>
        <v>0</v>
      </c>
      <c r="H393" s="81"/>
      <c r="I393" s="81"/>
      <c r="J393" s="82"/>
    </row>
    <row r="394" spans="1:10" hidden="1" outlineLevel="2" collapsed="1" x14ac:dyDescent="0.35">
      <c r="A394" s="74">
        <v>4</v>
      </c>
      <c r="B394" s="74" t="s">
        <v>392</v>
      </c>
      <c r="C394" s="74" t="s">
        <v>740</v>
      </c>
      <c r="D394" s="75" t="s">
        <v>444</v>
      </c>
      <c r="E394" s="86" t="str">
        <f>IFERROR(SUBTOTAL(1,E395:E402),"")</f>
        <v/>
      </c>
      <c r="F394" s="74">
        <f t="shared" si="12"/>
        <v>0</v>
      </c>
      <c r="G394" s="74">
        <f t="shared" si="13"/>
        <v>0</v>
      </c>
      <c r="H394" s="76">
        <f>MIN(H395:H402)</f>
        <v>0</v>
      </c>
      <c r="I394" s="76">
        <f>MAX(I395:I402)</f>
        <v>0</v>
      </c>
      <c r="J394" s="77"/>
    </row>
    <row r="395" spans="1:10" hidden="1" outlineLevel="3" x14ac:dyDescent="0.35">
      <c r="A395" s="78">
        <v>5</v>
      </c>
      <c r="B395" s="78" t="s">
        <v>385</v>
      </c>
      <c r="C395" s="78" t="s">
        <v>1581</v>
      </c>
      <c r="D395" s="79"/>
      <c r="E395" s="87"/>
      <c r="F395" s="80">
        <f t="shared" si="12"/>
        <v>0</v>
      </c>
      <c r="G395" s="80">
        <f t="shared" si="13"/>
        <v>0</v>
      </c>
      <c r="H395" s="81"/>
      <c r="I395" s="81"/>
      <c r="J395" s="82"/>
    </row>
    <row r="396" spans="1:10" hidden="1" outlineLevel="3" x14ac:dyDescent="0.35">
      <c r="A396" s="78">
        <v>5</v>
      </c>
      <c r="B396" s="78" t="s">
        <v>385</v>
      </c>
      <c r="C396" s="78" t="s">
        <v>1582</v>
      </c>
      <c r="D396" s="79"/>
      <c r="E396" s="87"/>
      <c r="F396" s="80">
        <f t="shared" si="12"/>
        <v>0</v>
      </c>
      <c r="G396" s="80">
        <f t="shared" si="13"/>
        <v>0</v>
      </c>
      <c r="H396" s="81"/>
      <c r="I396" s="81"/>
      <c r="J396" s="82"/>
    </row>
    <row r="397" spans="1:10" hidden="1" outlineLevel="3" x14ac:dyDescent="0.35">
      <c r="A397" s="78">
        <v>5</v>
      </c>
      <c r="B397" s="78" t="s">
        <v>385</v>
      </c>
      <c r="C397" s="78" t="s">
        <v>1583</v>
      </c>
      <c r="D397" s="79"/>
      <c r="E397" s="87"/>
      <c r="F397" s="80">
        <f t="shared" si="12"/>
        <v>0</v>
      </c>
      <c r="G397" s="80">
        <f t="shared" si="13"/>
        <v>0</v>
      </c>
      <c r="H397" s="81"/>
      <c r="I397" s="81"/>
      <c r="J397" s="82"/>
    </row>
    <row r="398" spans="1:10" hidden="1" outlineLevel="3" x14ac:dyDescent="0.35">
      <c r="A398" s="78">
        <v>5</v>
      </c>
      <c r="B398" s="78" t="s">
        <v>385</v>
      </c>
      <c r="C398" s="78" t="s">
        <v>1584</v>
      </c>
      <c r="D398" s="79"/>
      <c r="E398" s="87"/>
      <c r="F398" s="80">
        <f t="shared" si="12"/>
        <v>0</v>
      </c>
      <c r="G398" s="80">
        <f t="shared" si="13"/>
        <v>0</v>
      </c>
      <c r="H398" s="81"/>
      <c r="I398" s="81"/>
      <c r="J398" s="82"/>
    </row>
    <row r="399" spans="1:10" hidden="1" outlineLevel="3" x14ac:dyDescent="0.35">
      <c r="A399" s="78">
        <v>5</v>
      </c>
      <c r="B399" s="78" t="s">
        <v>385</v>
      </c>
      <c r="C399" s="78" t="s">
        <v>1585</v>
      </c>
      <c r="D399" s="79"/>
      <c r="E399" s="87"/>
      <c r="F399" s="80">
        <f t="shared" si="12"/>
        <v>0</v>
      </c>
      <c r="G399" s="80">
        <f t="shared" si="13"/>
        <v>0</v>
      </c>
      <c r="H399" s="81"/>
      <c r="I399" s="81"/>
      <c r="J399" s="82"/>
    </row>
    <row r="400" spans="1:10" hidden="1" outlineLevel="3" x14ac:dyDescent="0.35">
      <c r="A400" s="78">
        <v>5</v>
      </c>
      <c r="B400" s="78" t="s">
        <v>385</v>
      </c>
      <c r="C400" s="78" t="s">
        <v>1586</v>
      </c>
      <c r="D400" s="79"/>
      <c r="E400" s="87"/>
      <c r="F400" s="80">
        <f t="shared" si="12"/>
        <v>0</v>
      </c>
      <c r="G400" s="80">
        <f t="shared" si="13"/>
        <v>0</v>
      </c>
      <c r="H400" s="81"/>
      <c r="I400" s="81"/>
      <c r="J400" s="82"/>
    </row>
    <row r="401" spans="1:10" hidden="1" outlineLevel="3" x14ac:dyDescent="0.35">
      <c r="A401" s="78">
        <v>5</v>
      </c>
      <c r="B401" s="78" t="s">
        <v>385</v>
      </c>
      <c r="C401" s="78" t="s">
        <v>1587</v>
      </c>
      <c r="D401" s="79"/>
      <c r="E401" s="87"/>
      <c r="F401" s="80">
        <f t="shared" si="12"/>
        <v>0</v>
      </c>
      <c r="G401" s="80">
        <f t="shared" si="13"/>
        <v>0</v>
      </c>
      <c r="H401" s="81"/>
      <c r="I401" s="81"/>
      <c r="J401" s="82"/>
    </row>
    <row r="402" spans="1:10" hidden="1" outlineLevel="3" x14ac:dyDescent="0.35">
      <c r="A402" s="78">
        <v>5</v>
      </c>
      <c r="B402" s="78" t="s">
        <v>385</v>
      </c>
      <c r="C402" s="78" t="s">
        <v>1588</v>
      </c>
      <c r="D402" s="79"/>
      <c r="E402" s="87"/>
      <c r="F402" s="80">
        <f t="shared" si="12"/>
        <v>0</v>
      </c>
      <c r="G402" s="80">
        <f t="shared" si="13"/>
        <v>0</v>
      </c>
      <c r="H402" s="81"/>
      <c r="I402" s="81"/>
      <c r="J402" s="82"/>
    </row>
    <row r="403" spans="1:10" outlineLevel="1" collapsed="1" x14ac:dyDescent="0.35">
      <c r="A403" s="67">
        <v>3</v>
      </c>
      <c r="B403" s="67" t="s">
        <v>298</v>
      </c>
      <c r="C403" s="67" t="s">
        <v>741</v>
      </c>
      <c r="D403" s="73" t="s">
        <v>742</v>
      </c>
      <c r="E403" s="85" t="str">
        <f>IFERROR(AVERAGE(E404,E413,E422,E431,E440,E449),"")</f>
        <v/>
      </c>
      <c r="F403" s="67">
        <f t="shared" si="12"/>
        <v>0</v>
      </c>
      <c r="G403" s="67">
        <f t="shared" si="13"/>
        <v>0</v>
      </c>
      <c r="H403" s="72">
        <f>MIN(H404,H413,H422,H431,H440,H449)</f>
        <v>0</v>
      </c>
      <c r="I403" s="72">
        <f>MAX(I404,I413,I422,I431,I440,I449)</f>
        <v>0</v>
      </c>
      <c r="J403" s="71"/>
    </row>
    <row r="404" spans="1:10" hidden="1" outlineLevel="2" collapsed="1" x14ac:dyDescent="0.35">
      <c r="A404" s="74">
        <v>4</v>
      </c>
      <c r="B404" s="74" t="s">
        <v>392</v>
      </c>
      <c r="C404" s="74" t="s">
        <v>743</v>
      </c>
      <c r="D404" s="75" t="s">
        <v>394</v>
      </c>
      <c r="E404" s="86" t="str">
        <f>IFERROR(SUBTOTAL(1,E405:E412),"")</f>
        <v/>
      </c>
      <c r="F404" s="74">
        <f t="shared" si="12"/>
        <v>0</v>
      </c>
      <c r="G404" s="74">
        <f t="shared" si="13"/>
        <v>0</v>
      </c>
      <c r="H404" s="76">
        <f>MIN(H405:H412)</f>
        <v>0</v>
      </c>
      <c r="I404" s="76">
        <f>MAX(I405:I412)</f>
        <v>0</v>
      </c>
      <c r="J404" s="77"/>
    </row>
    <row r="405" spans="1:10" hidden="1" outlineLevel="3" x14ac:dyDescent="0.35">
      <c r="A405" s="78">
        <v>5</v>
      </c>
      <c r="B405" s="78" t="s">
        <v>385</v>
      </c>
      <c r="C405" s="78" t="s">
        <v>744</v>
      </c>
      <c r="D405" s="79" t="s">
        <v>368</v>
      </c>
      <c r="E405" s="87"/>
      <c r="F405" s="80">
        <f t="shared" si="12"/>
        <v>0</v>
      </c>
      <c r="G405" s="80">
        <f t="shared" si="13"/>
        <v>0</v>
      </c>
      <c r="H405" s="81"/>
      <c r="I405" s="81"/>
      <c r="J405" s="82"/>
    </row>
    <row r="406" spans="1:10" hidden="1" outlineLevel="3" x14ac:dyDescent="0.35">
      <c r="A406" s="78">
        <v>5</v>
      </c>
      <c r="B406" s="78" t="s">
        <v>385</v>
      </c>
      <c r="C406" s="78" t="s">
        <v>745</v>
      </c>
      <c r="D406" s="79" t="s">
        <v>350</v>
      </c>
      <c r="E406" s="87"/>
      <c r="F406" s="80">
        <f t="shared" si="12"/>
        <v>0</v>
      </c>
      <c r="G406" s="80">
        <f t="shared" si="13"/>
        <v>0</v>
      </c>
      <c r="H406" s="81"/>
      <c r="I406" s="81"/>
      <c r="J406" s="82"/>
    </row>
    <row r="407" spans="1:10" hidden="1" outlineLevel="3" x14ac:dyDescent="0.35">
      <c r="A407" s="78">
        <v>5</v>
      </c>
      <c r="B407" s="78" t="s">
        <v>385</v>
      </c>
      <c r="C407" s="78" t="s">
        <v>746</v>
      </c>
      <c r="D407" s="79"/>
      <c r="E407" s="87"/>
      <c r="F407" s="80">
        <f t="shared" si="12"/>
        <v>0</v>
      </c>
      <c r="G407" s="80">
        <f t="shared" si="13"/>
        <v>0</v>
      </c>
      <c r="H407" s="81"/>
      <c r="I407" s="81"/>
      <c r="J407" s="82"/>
    </row>
    <row r="408" spans="1:10" hidden="1" outlineLevel="3" x14ac:dyDescent="0.35">
      <c r="A408" s="78">
        <v>5</v>
      </c>
      <c r="B408" s="78" t="s">
        <v>385</v>
      </c>
      <c r="C408" s="78" t="s">
        <v>747</v>
      </c>
      <c r="D408" s="79"/>
      <c r="E408" s="87"/>
      <c r="F408" s="80">
        <f t="shared" si="12"/>
        <v>0</v>
      </c>
      <c r="G408" s="80">
        <f t="shared" si="13"/>
        <v>0</v>
      </c>
      <c r="H408" s="81"/>
      <c r="I408" s="81"/>
      <c r="J408" s="82"/>
    </row>
    <row r="409" spans="1:10" hidden="1" outlineLevel="3" x14ac:dyDescent="0.35">
      <c r="A409" s="78">
        <v>5</v>
      </c>
      <c r="B409" s="78" t="s">
        <v>385</v>
      </c>
      <c r="C409" s="78" t="s">
        <v>748</v>
      </c>
      <c r="D409" s="79"/>
      <c r="E409" s="87"/>
      <c r="F409" s="80">
        <f t="shared" si="12"/>
        <v>0</v>
      </c>
      <c r="G409" s="80">
        <f t="shared" si="13"/>
        <v>0</v>
      </c>
      <c r="H409" s="81"/>
      <c r="I409" s="81"/>
      <c r="J409" s="82"/>
    </row>
    <row r="410" spans="1:10" hidden="1" outlineLevel="3" x14ac:dyDescent="0.35">
      <c r="A410" s="78">
        <v>5</v>
      </c>
      <c r="B410" s="78" t="s">
        <v>385</v>
      </c>
      <c r="C410" s="78" t="s">
        <v>749</v>
      </c>
      <c r="D410" s="79"/>
      <c r="E410" s="87"/>
      <c r="F410" s="80">
        <f t="shared" si="12"/>
        <v>0</v>
      </c>
      <c r="G410" s="80">
        <f t="shared" si="13"/>
        <v>0</v>
      </c>
      <c r="H410" s="81"/>
      <c r="I410" s="81"/>
      <c r="J410" s="82"/>
    </row>
    <row r="411" spans="1:10" hidden="1" outlineLevel="3" x14ac:dyDescent="0.35">
      <c r="A411" s="78">
        <v>5</v>
      </c>
      <c r="B411" s="78" t="s">
        <v>385</v>
      </c>
      <c r="C411" s="78" t="s">
        <v>750</v>
      </c>
      <c r="D411" s="79"/>
      <c r="E411" s="87"/>
      <c r="F411" s="80">
        <f t="shared" si="12"/>
        <v>0</v>
      </c>
      <c r="G411" s="80">
        <f t="shared" si="13"/>
        <v>0</v>
      </c>
      <c r="H411" s="81"/>
      <c r="I411" s="81"/>
      <c r="J411" s="82"/>
    </row>
    <row r="412" spans="1:10" hidden="1" outlineLevel="3" x14ac:dyDescent="0.35">
      <c r="A412" s="78">
        <v>5</v>
      </c>
      <c r="B412" s="78" t="s">
        <v>385</v>
      </c>
      <c r="C412" s="78" t="s">
        <v>751</v>
      </c>
      <c r="D412" s="79"/>
      <c r="E412" s="87"/>
      <c r="F412" s="80">
        <f t="shared" si="12"/>
        <v>0</v>
      </c>
      <c r="G412" s="80">
        <f t="shared" si="13"/>
        <v>0</v>
      </c>
      <c r="H412" s="81"/>
      <c r="I412" s="81"/>
      <c r="J412" s="82"/>
    </row>
    <row r="413" spans="1:10" hidden="1" outlineLevel="2" collapsed="1" x14ac:dyDescent="0.35">
      <c r="A413" s="74">
        <v>4</v>
      </c>
      <c r="B413" s="74" t="s">
        <v>392</v>
      </c>
      <c r="C413" s="74" t="s">
        <v>752</v>
      </c>
      <c r="D413" s="75" t="s">
        <v>404</v>
      </c>
      <c r="E413" s="86" t="str">
        <f>IFERROR(SUBTOTAL(1,E414:E421),"")</f>
        <v/>
      </c>
      <c r="F413" s="74">
        <f t="shared" si="12"/>
        <v>0</v>
      </c>
      <c r="G413" s="74">
        <f t="shared" si="13"/>
        <v>0</v>
      </c>
      <c r="H413" s="76">
        <f>MIN(H414:H421)</f>
        <v>0</v>
      </c>
      <c r="I413" s="76">
        <f>MAX(I414:I421)</f>
        <v>0</v>
      </c>
      <c r="J413" s="77"/>
    </row>
    <row r="414" spans="1:10" hidden="1" outlineLevel="3" x14ac:dyDescent="0.35">
      <c r="A414" s="78">
        <v>5</v>
      </c>
      <c r="B414" s="78" t="s">
        <v>385</v>
      </c>
      <c r="C414" s="78" t="s">
        <v>753</v>
      </c>
      <c r="D414" s="79" t="s">
        <v>351</v>
      </c>
      <c r="E414" s="87"/>
      <c r="F414" s="80">
        <f t="shared" si="12"/>
        <v>0</v>
      </c>
      <c r="G414" s="80">
        <f t="shared" si="13"/>
        <v>0</v>
      </c>
      <c r="H414" s="81"/>
      <c r="I414" s="81"/>
      <c r="J414" s="82"/>
    </row>
    <row r="415" spans="1:10" hidden="1" outlineLevel="3" x14ac:dyDescent="0.35">
      <c r="A415" s="78">
        <v>5</v>
      </c>
      <c r="B415" s="78" t="s">
        <v>385</v>
      </c>
      <c r="C415" s="78" t="s">
        <v>754</v>
      </c>
      <c r="D415" s="79"/>
      <c r="E415" s="87"/>
      <c r="F415" s="80">
        <f t="shared" si="12"/>
        <v>0</v>
      </c>
      <c r="G415" s="80">
        <f t="shared" si="13"/>
        <v>0</v>
      </c>
      <c r="H415" s="81"/>
      <c r="I415" s="81"/>
      <c r="J415" s="82"/>
    </row>
    <row r="416" spans="1:10" hidden="1" outlineLevel="3" x14ac:dyDescent="0.35">
      <c r="A416" s="78">
        <v>5</v>
      </c>
      <c r="B416" s="78" t="s">
        <v>385</v>
      </c>
      <c r="C416" s="78" t="s">
        <v>755</v>
      </c>
      <c r="D416" s="79"/>
      <c r="E416" s="87"/>
      <c r="F416" s="80">
        <f t="shared" si="12"/>
        <v>0</v>
      </c>
      <c r="G416" s="80">
        <f t="shared" si="13"/>
        <v>0</v>
      </c>
      <c r="H416" s="81"/>
      <c r="I416" s="81"/>
      <c r="J416" s="82"/>
    </row>
    <row r="417" spans="1:10" hidden="1" outlineLevel="3" x14ac:dyDescent="0.35">
      <c r="A417" s="78">
        <v>5</v>
      </c>
      <c r="B417" s="78" t="s">
        <v>385</v>
      </c>
      <c r="C417" s="78" t="s">
        <v>756</v>
      </c>
      <c r="D417" s="79"/>
      <c r="E417" s="87"/>
      <c r="F417" s="80">
        <f t="shared" si="12"/>
        <v>0</v>
      </c>
      <c r="G417" s="80">
        <f t="shared" si="13"/>
        <v>0</v>
      </c>
      <c r="H417" s="81"/>
      <c r="I417" s="81"/>
      <c r="J417" s="82"/>
    </row>
    <row r="418" spans="1:10" hidden="1" outlineLevel="3" x14ac:dyDescent="0.35">
      <c r="A418" s="78">
        <v>5</v>
      </c>
      <c r="B418" s="78" t="s">
        <v>385</v>
      </c>
      <c r="C418" s="78" t="s">
        <v>757</v>
      </c>
      <c r="D418" s="79"/>
      <c r="E418" s="87"/>
      <c r="F418" s="80">
        <f t="shared" si="12"/>
        <v>0</v>
      </c>
      <c r="G418" s="80">
        <f t="shared" si="13"/>
        <v>0</v>
      </c>
      <c r="H418" s="81"/>
      <c r="I418" s="81"/>
      <c r="J418" s="82"/>
    </row>
    <row r="419" spans="1:10" hidden="1" outlineLevel="3" x14ac:dyDescent="0.35">
      <c r="A419" s="78">
        <v>5</v>
      </c>
      <c r="B419" s="78" t="s">
        <v>385</v>
      </c>
      <c r="C419" s="78" t="s">
        <v>758</v>
      </c>
      <c r="D419" s="79"/>
      <c r="E419" s="87"/>
      <c r="F419" s="80">
        <f t="shared" si="12"/>
        <v>0</v>
      </c>
      <c r="G419" s="80">
        <f t="shared" si="13"/>
        <v>0</v>
      </c>
      <c r="H419" s="81"/>
      <c r="I419" s="81"/>
      <c r="J419" s="82"/>
    </row>
    <row r="420" spans="1:10" hidden="1" outlineLevel="3" x14ac:dyDescent="0.35">
      <c r="A420" s="78">
        <v>5</v>
      </c>
      <c r="B420" s="78" t="s">
        <v>385</v>
      </c>
      <c r="C420" s="78" t="s">
        <v>759</v>
      </c>
      <c r="D420" s="79"/>
      <c r="E420" s="87"/>
      <c r="F420" s="80">
        <f t="shared" si="12"/>
        <v>0</v>
      </c>
      <c r="G420" s="80">
        <f t="shared" si="13"/>
        <v>0</v>
      </c>
      <c r="H420" s="81"/>
      <c r="I420" s="81"/>
      <c r="J420" s="82"/>
    </row>
    <row r="421" spans="1:10" hidden="1" outlineLevel="3" x14ac:dyDescent="0.35">
      <c r="A421" s="78">
        <v>5</v>
      </c>
      <c r="B421" s="78" t="s">
        <v>385</v>
      </c>
      <c r="C421" s="78" t="s">
        <v>760</v>
      </c>
      <c r="D421" s="79"/>
      <c r="E421" s="87"/>
      <c r="F421" s="80">
        <f t="shared" si="12"/>
        <v>0</v>
      </c>
      <c r="G421" s="80">
        <f t="shared" si="13"/>
        <v>0</v>
      </c>
      <c r="H421" s="81"/>
      <c r="I421" s="81"/>
      <c r="J421" s="82"/>
    </row>
    <row r="422" spans="1:10" hidden="1" outlineLevel="2" collapsed="1" x14ac:dyDescent="0.35">
      <c r="A422" s="74">
        <v>4</v>
      </c>
      <c r="B422" s="74" t="s">
        <v>392</v>
      </c>
      <c r="C422" s="74" t="s">
        <v>761</v>
      </c>
      <c r="D422" s="75" t="s">
        <v>414</v>
      </c>
      <c r="E422" s="86" t="str">
        <f>IFERROR(SUBTOTAL(1,E423:E430),"")</f>
        <v/>
      </c>
      <c r="F422" s="74">
        <f t="shared" si="12"/>
        <v>0</v>
      </c>
      <c r="G422" s="74">
        <f t="shared" si="13"/>
        <v>0</v>
      </c>
      <c r="H422" s="76">
        <f>MIN(H423:H430)</f>
        <v>0</v>
      </c>
      <c r="I422" s="76">
        <f>MAX(I423:I430)</f>
        <v>0</v>
      </c>
      <c r="J422" s="77"/>
    </row>
    <row r="423" spans="1:10" hidden="1" outlineLevel="3" x14ac:dyDescent="0.35">
      <c r="A423" s="78">
        <v>5</v>
      </c>
      <c r="B423" s="78" t="s">
        <v>385</v>
      </c>
      <c r="C423" s="78" t="s">
        <v>762</v>
      </c>
      <c r="D423" s="79"/>
      <c r="E423" s="87"/>
      <c r="F423" s="80">
        <f t="shared" si="12"/>
        <v>0</v>
      </c>
      <c r="G423" s="80">
        <f t="shared" si="13"/>
        <v>0</v>
      </c>
      <c r="H423" s="81"/>
      <c r="I423" s="81"/>
      <c r="J423" s="82"/>
    </row>
    <row r="424" spans="1:10" hidden="1" outlineLevel="3" x14ac:dyDescent="0.35">
      <c r="A424" s="78">
        <v>5</v>
      </c>
      <c r="B424" s="78" t="s">
        <v>385</v>
      </c>
      <c r="C424" s="78" t="s">
        <v>763</v>
      </c>
      <c r="D424" s="79"/>
      <c r="E424" s="87"/>
      <c r="F424" s="80">
        <f t="shared" si="12"/>
        <v>0</v>
      </c>
      <c r="G424" s="80">
        <f t="shared" si="13"/>
        <v>0</v>
      </c>
      <c r="H424" s="81"/>
      <c r="I424" s="81"/>
      <c r="J424" s="82"/>
    </row>
    <row r="425" spans="1:10" hidden="1" outlineLevel="3" x14ac:dyDescent="0.35">
      <c r="A425" s="78">
        <v>5</v>
      </c>
      <c r="B425" s="78" t="s">
        <v>385</v>
      </c>
      <c r="C425" s="78" t="s">
        <v>764</v>
      </c>
      <c r="D425" s="79"/>
      <c r="E425" s="87"/>
      <c r="F425" s="80">
        <f t="shared" si="12"/>
        <v>0</v>
      </c>
      <c r="G425" s="80">
        <f t="shared" si="13"/>
        <v>0</v>
      </c>
      <c r="H425" s="81"/>
      <c r="I425" s="81"/>
      <c r="J425" s="82"/>
    </row>
    <row r="426" spans="1:10" hidden="1" outlineLevel="3" x14ac:dyDescent="0.35">
      <c r="A426" s="78">
        <v>5</v>
      </c>
      <c r="B426" s="78" t="s">
        <v>385</v>
      </c>
      <c r="C426" s="78" t="s">
        <v>765</v>
      </c>
      <c r="D426" s="79"/>
      <c r="E426" s="87"/>
      <c r="F426" s="80">
        <f t="shared" si="12"/>
        <v>0</v>
      </c>
      <c r="G426" s="80">
        <f t="shared" si="13"/>
        <v>0</v>
      </c>
      <c r="H426" s="81"/>
      <c r="I426" s="81"/>
      <c r="J426" s="82"/>
    </row>
    <row r="427" spans="1:10" hidden="1" outlineLevel="3" x14ac:dyDescent="0.35">
      <c r="A427" s="78">
        <v>5</v>
      </c>
      <c r="B427" s="78" t="s">
        <v>385</v>
      </c>
      <c r="C427" s="78" t="s">
        <v>766</v>
      </c>
      <c r="D427" s="79"/>
      <c r="E427" s="87"/>
      <c r="F427" s="80">
        <f t="shared" si="12"/>
        <v>0</v>
      </c>
      <c r="G427" s="80">
        <f t="shared" si="13"/>
        <v>0</v>
      </c>
      <c r="H427" s="81"/>
      <c r="I427" s="81"/>
      <c r="J427" s="82"/>
    </row>
    <row r="428" spans="1:10" hidden="1" outlineLevel="3" x14ac:dyDescent="0.35">
      <c r="A428" s="78">
        <v>5</v>
      </c>
      <c r="B428" s="78" t="s">
        <v>385</v>
      </c>
      <c r="C428" s="78" t="s">
        <v>767</v>
      </c>
      <c r="D428" s="79"/>
      <c r="E428" s="87"/>
      <c r="F428" s="80">
        <f t="shared" si="12"/>
        <v>0</v>
      </c>
      <c r="G428" s="80">
        <f t="shared" si="13"/>
        <v>0</v>
      </c>
      <c r="H428" s="81"/>
      <c r="I428" s="81"/>
      <c r="J428" s="82"/>
    </row>
    <row r="429" spans="1:10" hidden="1" outlineLevel="3" x14ac:dyDescent="0.35">
      <c r="A429" s="78">
        <v>5</v>
      </c>
      <c r="B429" s="78" t="s">
        <v>385</v>
      </c>
      <c r="C429" s="78" t="s">
        <v>768</v>
      </c>
      <c r="D429" s="79"/>
      <c r="E429" s="87"/>
      <c r="F429" s="80">
        <f t="shared" si="12"/>
        <v>0</v>
      </c>
      <c r="G429" s="80">
        <f t="shared" si="13"/>
        <v>0</v>
      </c>
      <c r="H429" s="81"/>
      <c r="I429" s="81"/>
      <c r="J429" s="82"/>
    </row>
    <row r="430" spans="1:10" hidden="1" outlineLevel="3" x14ac:dyDescent="0.35">
      <c r="A430" s="78">
        <v>5</v>
      </c>
      <c r="B430" s="78" t="s">
        <v>385</v>
      </c>
      <c r="C430" s="78" t="s">
        <v>769</v>
      </c>
      <c r="D430" s="79"/>
      <c r="E430" s="87"/>
      <c r="F430" s="80">
        <f t="shared" si="12"/>
        <v>0</v>
      </c>
      <c r="G430" s="80">
        <f t="shared" si="13"/>
        <v>0</v>
      </c>
      <c r="H430" s="81"/>
      <c r="I430" s="81"/>
      <c r="J430" s="82"/>
    </row>
    <row r="431" spans="1:10" hidden="1" outlineLevel="2" collapsed="1" x14ac:dyDescent="0.35">
      <c r="A431" s="74">
        <v>4</v>
      </c>
      <c r="B431" s="74" t="s">
        <v>392</v>
      </c>
      <c r="C431" s="74" t="s">
        <v>770</v>
      </c>
      <c r="D431" s="75" t="s">
        <v>424</v>
      </c>
      <c r="E431" s="86" t="str">
        <f>IFERROR(SUBTOTAL(1,E432:E439),"")</f>
        <v/>
      </c>
      <c r="F431" s="74">
        <f t="shared" si="12"/>
        <v>0</v>
      </c>
      <c r="G431" s="74">
        <f t="shared" si="13"/>
        <v>0</v>
      </c>
      <c r="H431" s="76">
        <f>MIN(H432:H439)</f>
        <v>0</v>
      </c>
      <c r="I431" s="76">
        <f>MAX(I432:I439)</f>
        <v>0</v>
      </c>
      <c r="J431" s="77"/>
    </row>
    <row r="432" spans="1:10" hidden="1" outlineLevel="3" x14ac:dyDescent="0.35">
      <c r="A432" s="78">
        <v>5</v>
      </c>
      <c r="B432" s="78" t="s">
        <v>385</v>
      </c>
      <c r="C432" s="78" t="s">
        <v>771</v>
      </c>
      <c r="D432" s="79"/>
      <c r="E432" s="87"/>
      <c r="F432" s="80">
        <f t="shared" si="12"/>
        <v>0</v>
      </c>
      <c r="G432" s="80">
        <f t="shared" si="13"/>
        <v>0</v>
      </c>
      <c r="H432" s="81"/>
      <c r="I432" s="81"/>
      <c r="J432" s="82"/>
    </row>
    <row r="433" spans="1:10" hidden="1" outlineLevel="3" x14ac:dyDescent="0.35">
      <c r="A433" s="78">
        <v>5</v>
      </c>
      <c r="B433" s="78" t="s">
        <v>385</v>
      </c>
      <c r="C433" s="78" t="s">
        <v>772</v>
      </c>
      <c r="D433" s="79"/>
      <c r="E433" s="87"/>
      <c r="F433" s="80">
        <f t="shared" si="12"/>
        <v>0</v>
      </c>
      <c r="G433" s="80">
        <f t="shared" si="13"/>
        <v>0</v>
      </c>
      <c r="H433" s="81"/>
      <c r="I433" s="81"/>
      <c r="J433" s="82"/>
    </row>
    <row r="434" spans="1:10" hidden="1" outlineLevel="3" x14ac:dyDescent="0.35">
      <c r="A434" s="78">
        <v>5</v>
      </c>
      <c r="B434" s="78" t="s">
        <v>385</v>
      </c>
      <c r="C434" s="78" t="s">
        <v>773</v>
      </c>
      <c r="D434" s="79"/>
      <c r="E434" s="87"/>
      <c r="F434" s="80">
        <f t="shared" si="12"/>
        <v>0</v>
      </c>
      <c r="G434" s="80">
        <f t="shared" si="13"/>
        <v>0</v>
      </c>
      <c r="H434" s="81"/>
      <c r="I434" s="81"/>
      <c r="J434" s="82"/>
    </row>
    <row r="435" spans="1:10" hidden="1" outlineLevel="3" x14ac:dyDescent="0.35">
      <c r="A435" s="78">
        <v>5</v>
      </c>
      <c r="B435" s="78" t="s">
        <v>385</v>
      </c>
      <c r="C435" s="78" t="s">
        <v>774</v>
      </c>
      <c r="D435" s="79"/>
      <c r="E435" s="87"/>
      <c r="F435" s="80">
        <f t="shared" si="12"/>
        <v>0</v>
      </c>
      <c r="G435" s="80">
        <f t="shared" si="13"/>
        <v>0</v>
      </c>
      <c r="H435" s="81"/>
      <c r="I435" s="81"/>
      <c r="J435" s="82"/>
    </row>
    <row r="436" spans="1:10" hidden="1" outlineLevel="3" x14ac:dyDescent="0.35">
      <c r="A436" s="78">
        <v>5</v>
      </c>
      <c r="B436" s="78" t="s">
        <v>385</v>
      </c>
      <c r="C436" s="78" t="s">
        <v>775</v>
      </c>
      <c r="D436" s="79"/>
      <c r="E436" s="87"/>
      <c r="F436" s="80">
        <f t="shared" si="12"/>
        <v>0</v>
      </c>
      <c r="G436" s="80">
        <f t="shared" si="13"/>
        <v>0</v>
      </c>
      <c r="H436" s="81"/>
      <c r="I436" s="81"/>
      <c r="J436" s="82"/>
    </row>
    <row r="437" spans="1:10" hidden="1" outlineLevel="3" x14ac:dyDescent="0.35">
      <c r="A437" s="78">
        <v>5</v>
      </c>
      <c r="B437" s="78" t="s">
        <v>385</v>
      </c>
      <c r="C437" s="78" t="s">
        <v>776</v>
      </c>
      <c r="D437" s="79"/>
      <c r="E437" s="87"/>
      <c r="F437" s="80">
        <f t="shared" si="12"/>
        <v>0</v>
      </c>
      <c r="G437" s="80">
        <f t="shared" si="13"/>
        <v>0</v>
      </c>
      <c r="H437" s="81"/>
      <c r="I437" s="81"/>
      <c r="J437" s="82"/>
    </row>
    <row r="438" spans="1:10" hidden="1" outlineLevel="3" x14ac:dyDescent="0.35">
      <c r="A438" s="78">
        <v>5</v>
      </c>
      <c r="B438" s="78" t="s">
        <v>385</v>
      </c>
      <c r="C438" s="78" t="s">
        <v>777</v>
      </c>
      <c r="D438" s="79"/>
      <c r="E438" s="87"/>
      <c r="F438" s="80">
        <f t="shared" si="12"/>
        <v>0</v>
      </c>
      <c r="G438" s="80">
        <f t="shared" si="13"/>
        <v>0</v>
      </c>
      <c r="H438" s="81"/>
      <c r="I438" s="81"/>
      <c r="J438" s="82"/>
    </row>
    <row r="439" spans="1:10" hidden="1" outlineLevel="3" x14ac:dyDescent="0.35">
      <c r="A439" s="78">
        <v>5</v>
      </c>
      <c r="B439" s="78" t="s">
        <v>385</v>
      </c>
      <c r="C439" s="78" t="s">
        <v>778</v>
      </c>
      <c r="D439" s="79"/>
      <c r="E439" s="87"/>
      <c r="F439" s="80">
        <f t="shared" si="12"/>
        <v>0</v>
      </c>
      <c r="G439" s="80">
        <f t="shared" si="13"/>
        <v>0</v>
      </c>
      <c r="H439" s="81"/>
      <c r="I439" s="81"/>
      <c r="J439" s="82"/>
    </row>
    <row r="440" spans="1:10" hidden="1" outlineLevel="2" collapsed="1" x14ac:dyDescent="0.35">
      <c r="A440" s="74">
        <v>4</v>
      </c>
      <c r="B440" s="74" t="s">
        <v>392</v>
      </c>
      <c r="C440" s="74" t="s">
        <v>779</v>
      </c>
      <c r="D440" s="75" t="s">
        <v>434</v>
      </c>
      <c r="E440" s="86" t="str">
        <f>IFERROR(SUBTOTAL(1,E441:E448),"")</f>
        <v/>
      </c>
      <c r="F440" s="74">
        <f t="shared" si="12"/>
        <v>0</v>
      </c>
      <c r="G440" s="74">
        <f t="shared" si="13"/>
        <v>0</v>
      </c>
      <c r="H440" s="76">
        <f>MIN(H441:H448)</f>
        <v>0</v>
      </c>
      <c r="I440" s="76">
        <f>MAX(I441:I448)</f>
        <v>0</v>
      </c>
      <c r="J440" s="77"/>
    </row>
    <row r="441" spans="1:10" hidden="1" outlineLevel="3" x14ac:dyDescent="0.35">
      <c r="A441" s="78">
        <v>5</v>
      </c>
      <c r="B441" s="78" t="s">
        <v>385</v>
      </c>
      <c r="C441" s="78" t="s">
        <v>780</v>
      </c>
      <c r="D441" s="79"/>
      <c r="E441" s="87"/>
      <c r="F441" s="80">
        <f t="shared" si="12"/>
        <v>0</v>
      </c>
      <c r="G441" s="80">
        <f t="shared" si="13"/>
        <v>0</v>
      </c>
      <c r="H441" s="81"/>
      <c r="I441" s="81"/>
      <c r="J441" s="82"/>
    </row>
    <row r="442" spans="1:10" hidden="1" outlineLevel="3" x14ac:dyDescent="0.35">
      <c r="A442" s="78">
        <v>5</v>
      </c>
      <c r="B442" s="78" t="s">
        <v>385</v>
      </c>
      <c r="C442" s="78" t="s">
        <v>781</v>
      </c>
      <c r="D442" s="79"/>
      <c r="E442" s="87"/>
      <c r="F442" s="80">
        <f t="shared" si="12"/>
        <v>0</v>
      </c>
      <c r="G442" s="80">
        <f t="shared" si="13"/>
        <v>0</v>
      </c>
      <c r="H442" s="81"/>
      <c r="I442" s="81"/>
      <c r="J442" s="82"/>
    </row>
    <row r="443" spans="1:10" hidden="1" outlineLevel="3" x14ac:dyDescent="0.35">
      <c r="A443" s="78">
        <v>5</v>
      </c>
      <c r="B443" s="78" t="s">
        <v>385</v>
      </c>
      <c r="C443" s="78" t="s">
        <v>782</v>
      </c>
      <c r="D443" s="79"/>
      <c r="E443" s="87"/>
      <c r="F443" s="80">
        <f t="shared" si="12"/>
        <v>0</v>
      </c>
      <c r="G443" s="80">
        <f t="shared" si="13"/>
        <v>0</v>
      </c>
      <c r="H443" s="81"/>
      <c r="I443" s="81"/>
      <c r="J443" s="82"/>
    </row>
    <row r="444" spans="1:10" hidden="1" outlineLevel="3" x14ac:dyDescent="0.35">
      <c r="A444" s="78">
        <v>5</v>
      </c>
      <c r="B444" s="78" t="s">
        <v>385</v>
      </c>
      <c r="C444" s="78" t="s">
        <v>783</v>
      </c>
      <c r="D444" s="79"/>
      <c r="E444" s="87"/>
      <c r="F444" s="80">
        <f t="shared" si="12"/>
        <v>0</v>
      </c>
      <c r="G444" s="80">
        <f t="shared" si="13"/>
        <v>0</v>
      </c>
      <c r="H444" s="81"/>
      <c r="I444" s="81"/>
      <c r="J444" s="82"/>
    </row>
    <row r="445" spans="1:10" hidden="1" outlineLevel="3" x14ac:dyDescent="0.35">
      <c r="A445" s="78">
        <v>5</v>
      </c>
      <c r="B445" s="78" t="s">
        <v>385</v>
      </c>
      <c r="C445" s="78" t="s">
        <v>784</v>
      </c>
      <c r="D445" s="79"/>
      <c r="E445" s="87"/>
      <c r="F445" s="80">
        <f t="shared" si="12"/>
        <v>0</v>
      </c>
      <c r="G445" s="80">
        <f t="shared" si="13"/>
        <v>0</v>
      </c>
      <c r="H445" s="81"/>
      <c r="I445" s="81"/>
      <c r="J445" s="82"/>
    </row>
    <row r="446" spans="1:10" hidden="1" outlineLevel="3" x14ac:dyDescent="0.35">
      <c r="A446" s="78">
        <v>5</v>
      </c>
      <c r="B446" s="78" t="s">
        <v>385</v>
      </c>
      <c r="C446" s="78" t="s">
        <v>785</v>
      </c>
      <c r="D446" s="79"/>
      <c r="E446" s="87"/>
      <c r="F446" s="80">
        <f t="shared" si="12"/>
        <v>0</v>
      </c>
      <c r="G446" s="80">
        <f t="shared" si="13"/>
        <v>0</v>
      </c>
      <c r="H446" s="81"/>
      <c r="I446" s="81"/>
      <c r="J446" s="82"/>
    </row>
    <row r="447" spans="1:10" hidden="1" outlineLevel="3" x14ac:dyDescent="0.35">
      <c r="A447" s="78">
        <v>5</v>
      </c>
      <c r="B447" s="78" t="s">
        <v>385</v>
      </c>
      <c r="C447" s="78" t="s">
        <v>786</v>
      </c>
      <c r="D447" s="79"/>
      <c r="E447" s="87"/>
      <c r="F447" s="80">
        <f t="shared" si="12"/>
        <v>0</v>
      </c>
      <c r="G447" s="80">
        <f t="shared" si="13"/>
        <v>0</v>
      </c>
      <c r="H447" s="81"/>
      <c r="I447" s="81"/>
      <c r="J447" s="82"/>
    </row>
    <row r="448" spans="1:10" hidden="1" outlineLevel="3" x14ac:dyDescent="0.35">
      <c r="A448" s="78">
        <v>5</v>
      </c>
      <c r="B448" s="78" t="s">
        <v>385</v>
      </c>
      <c r="C448" s="78" t="s">
        <v>787</v>
      </c>
      <c r="D448" s="79"/>
      <c r="E448" s="87"/>
      <c r="F448" s="80">
        <f t="shared" si="12"/>
        <v>0</v>
      </c>
      <c r="G448" s="80">
        <f t="shared" si="13"/>
        <v>0</v>
      </c>
      <c r="H448" s="81"/>
      <c r="I448" s="81"/>
      <c r="J448" s="82"/>
    </row>
    <row r="449" spans="1:10" hidden="1" outlineLevel="2" collapsed="1" x14ac:dyDescent="0.35">
      <c r="A449" s="74">
        <v>4</v>
      </c>
      <c r="B449" s="74" t="s">
        <v>392</v>
      </c>
      <c r="C449" s="74" t="s">
        <v>788</v>
      </c>
      <c r="D449" s="75" t="s">
        <v>444</v>
      </c>
      <c r="E449" s="86" t="str">
        <f>IFERROR(SUBTOTAL(1,E450:E457),"")</f>
        <v/>
      </c>
      <c r="F449" s="74">
        <f t="shared" si="12"/>
        <v>0</v>
      </c>
      <c r="G449" s="74">
        <f t="shared" si="13"/>
        <v>0</v>
      </c>
      <c r="H449" s="76">
        <f>MIN(H450:H457)</f>
        <v>0</v>
      </c>
      <c r="I449" s="76">
        <f>MAX(I450:I457)</f>
        <v>0</v>
      </c>
      <c r="J449" s="77"/>
    </row>
    <row r="450" spans="1:10" hidden="1" outlineLevel="3" x14ac:dyDescent="0.35">
      <c r="A450" s="78">
        <v>5</v>
      </c>
      <c r="B450" s="78" t="s">
        <v>385</v>
      </c>
      <c r="C450" s="78" t="s">
        <v>1573</v>
      </c>
      <c r="D450" s="79"/>
      <c r="E450" s="87"/>
      <c r="F450" s="80">
        <f t="shared" si="12"/>
        <v>0</v>
      </c>
      <c r="G450" s="80">
        <f t="shared" si="13"/>
        <v>0</v>
      </c>
      <c r="H450" s="81"/>
      <c r="I450" s="81"/>
      <c r="J450" s="82"/>
    </row>
    <row r="451" spans="1:10" hidden="1" outlineLevel="3" x14ac:dyDescent="0.35">
      <c r="A451" s="78">
        <v>5</v>
      </c>
      <c r="B451" s="78" t="s">
        <v>385</v>
      </c>
      <c r="C451" s="78" t="s">
        <v>1574</v>
      </c>
      <c r="D451" s="79"/>
      <c r="E451" s="87"/>
      <c r="F451" s="80">
        <f t="shared" si="12"/>
        <v>0</v>
      </c>
      <c r="G451" s="80">
        <f t="shared" si="13"/>
        <v>0</v>
      </c>
      <c r="H451" s="81"/>
      <c r="I451" s="81"/>
      <c r="J451" s="82"/>
    </row>
    <row r="452" spans="1:10" hidden="1" outlineLevel="3" x14ac:dyDescent="0.35">
      <c r="A452" s="78">
        <v>5</v>
      </c>
      <c r="B452" s="78" t="s">
        <v>385</v>
      </c>
      <c r="C452" s="78" t="s">
        <v>1575</v>
      </c>
      <c r="D452" s="79"/>
      <c r="E452" s="87"/>
      <c r="F452" s="80">
        <f t="shared" si="12"/>
        <v>0</v>
      </c>
      <c r="G452" s="80">
        <f t="shared" si="13"/>
        <v>0</v>
      </c>
      <c r="H452" s="81"/>
      <c r="I452" s="81"/>
      <c r="J452" s="82"/>
    </row>
    <row r="453" spans="1:10" hidden="1" outlineLevel="3" x14ac:dyDescent="0.35">
      <c r="A453" s="78">
        <v>5</v>
      </c>
      <c r="B453" s="78" t="s">
        <v>385</v>
      </c>
      <c r="C453" s="78" t="s">
        <v>1576</v>
      </c>
      <c r="D453" s="79"/>
      <c r="E453" s="87"/>
      <c r="F453" s="80">
        <f t="shared" si="12"/>
        <v>0</v>
      </c>
      <c r="G453" s="80">
        <f t="shared" si="13"/>
        <v>0</v>
      </c>
      <c r="H453" s="81"/>
      <c r="I453" s="81"/>
      <c r="J453" s="82"/>
    </row>
    <row r="454" spans="1:10" hidden="1" outlineLevel="3" x14ac:dyDescent="0.35">
      <c r="A454" s="78">
        <v>5</v>
      </c>
      <c r="B454" s="78" t="s">
        <v>385</v>
      </c>
      <c r="C454" s="78" t="s">
        <v>1577</v>
      </c>
      <c r="D454" s="79"/>
      <c r="E454" s="87"/>
      <c r="F454" s="80">
        <f t="shared" ref="F454:F517" si="14">IFERROR(DATEDIF(H454,I454,"D"),0)</f>
        <v>0</v>
      </c>
      <c r="G454" s="80">
        <f t="shared" ref="G454:G517" si="15">IFERROR(NETWORKDAYS.INTL(H454,I454),0)</f>
        <v>0</v>
      </c>
      <c r="H454" s="81"/>
      <c r="I454" s="81"/>
      <c r="J454" s="82"/>
    </row>
    <row r="455" spans="1:10" hidden="1" outlineLevel="3" x14ac:dyDescent="0.35">
      <c r="A455" s="78">
        <v>5</v>
      </c>
      <c r="B455" s="78" t="s">
        <v>385</v>
      </c>
      <c r="C455" s="78" t="s">
        <v>1578</v>
      </c>
      <c r="D455" s="79"/>
      <c r="E455" s="87"/>
      <c r="F455" s="80">
        <f t="shared" si="14"/>
        <v>0</v>
      </c>
      <c r="G455" s="80">
        <f t="shared" si="15"/>
        <v>0</v>
      </c>
      <c r="H455" s="81"/>
      <c r="I455" s="81"/>
      <c r="J455" s="82"/>
    </row>
    <row r="456" spans="1:10" hidden="1" outlineLevel="3" x14ac:dyDescent="0.35">
      <c r="A456" s="78">
        <v>5</v>
      </c>
      <c r="B456" s="78" t="s">
        <v>385</v>
      </c>
      <c r="C456" s="78" t="s">
        <v>1579</v>
      </c>
      <c r="D456" s="79"/>
      <c r="E456" s="87"/>
      <c r="F456" s="80">
        <f t="shared" si="14"/>
        <v>0</v>
      </c>
      <c r="G456" s="80">
        <f t="shared" si="15"/>
        <v>0</v>
      </c>
      <c r="H456" s="81"/>
      <c r="I456" s="81"/>
      <c r="J456" s="82"/>
    </row>
    <row r="457" spans="1:10" hidden="1" outlineLevel="3" x14ac:dyDescent="0.35">
      <c r="A457" s="78">
        <v>5</v>
      </c>
      <c r="B457" s="78" t="s">
        <v>385</v>
      </c>
      <c r="C457" s="78" t="s">
        <v>1580</v>
      </c>
      <c r="D457" s="79"/>
      <c r="E457" s="87"/>
      <c r="F457" s="80">
        <f t="shared" si="14"/>
        <v>0</v>
      </c>
      <c r="G457" s="80">
        <f t="shared" si="15"/>
        <v>0</v>
      </c>
      <c r="H457" s="81"/>
      <c r="I457" s="81"/>
      <c r="J457" s="82"/>
    </row>
    <row r="458" spans="1:10" outlineLevel="1" collapsed="1" x14ac:dyDescent="0.35">
      <c r="A458" s="67">
        <v>3</v>
      </c>
      <c r="B458" s="67" t="s">
        <v>298</v>
      </c>
      <c r="C458" s="67" t="s">
        <v>789</v>
      </c>
      <c r="D458" s="73" t="s">
        <v>790</v>
      </c>
      <c r="E458" s="85" t="str">
        <f>IFERROR(AVERAGE(E459,E468,E477,E486,E495,E504),"")</f>
        <v/>
      </c>
      <c r="F458" s="67">
        <f t="shared" si="14"/>
        <v>0</v>
      </c>
      <c r="G458" s="67">
        <f t="shared" si="15"/>
        <v>0</v>
      </c>
      <c r="H458" s="72">
        <f>MIN(H459,H468,H477,H486,H495,H504)</f>
        <v>0</v>
      </c>
      <c r="I458" s="72">
        <f>MAX(I459,I468,I477,I486,I495,I504)</f>
        <v>0</v>
      </c>
      <c r="J458" s="71"/>
    </row>
    <row r="459" spans="1:10" hidden="1" outlineLevel="2" collapsed="1" x14ac:dyDescent="0.35">
      <c r="A459" s="74">
        <v>4</v>
      </c>
      <c r="B459" s="74" t="s">
        <v>392</v>
      </c>
      <c r="C459" s="74" t="s">
        <v>791</v>
      </c>
      <c r="D459" s="75" t="s">
        <v>394</v>
      </c>
      <c r="E459" s="86" t="str">
        <f>IFERROR(SUBTOTAL(1,E460:E467),"")</f>
        <v/>
      </c>
      <c r="F459" s="74">
        <f t="shared" si="14"/>
        <v>0</v>
      </c>
      <c r="G459" s="74">
        <f t="shared" si="15"/>
        <v>0</v>
      </c>
      <c r="H459" s="76">
        <f>MIN(H460:H467)</f>
        <v>0</v>
      </c>
      <c r="I459" s="76">
        <f>MAX(I460:I467)</f>
        <v>0</v>
      </c>
      <c r="J459" s="77"/>
    </row>
    <row r="460" spans="1:10" hidden="1" outlineLevel="3" x14ac:dyDescent="0.35">
      <c r="A460" s="78">
        <v>5</v>
      </c>
      <c r="B460" s="78" t="s">
        <v>385</v>
      </c>
      <c r="C460" s="78" t="s">
        <v>792</v>
      </c>
      <c r="D460" s="79" t="s">
        <v>328</v>
      </c>
      <c r="E460" s="87"/>
      <c r="F460" s="80">
        <f t="shared" si="14"/>
        <v>0</v>
      </c>
      <c r="G460" s="80">
        <f t="shared" si="15"/>
        <v>0</v>
      </c>
      <c r="H460" s="81"/>
      <c r="I460" s="81"/>
      <c r="J460" s="82"/>
    </row>
    <row r="461" spans="1:10" hidden="1" outlineLevel="3" x14ac:dyDescent="0.35">
      <c r="A461" s="78">
        <v>5</v>
      </c>
      <c r="B461" s="78" t="s">
        <v>385</v>
      </c>
      <c r="C461" s="78" t="s">
        <v>793</v>
      </c>
      <c r="D461" s="79" t="s">
        <v>332</v>
      </c>
      <c r="E461" s="87"/>
      <c r="F461" s="80">
        <f t="shared" si="14"/>
        <v>0</v>
      </c>
      <c r="G461" s="80">
        <f t="shared" si="15"/>
        <v>0</v>
      </c>
      <c r="H461" s="81"/>
      <c r="I461" s="81"/>
      <c r="J461" s="82"/>
    </row>
    <row r="462" spans="1:10" hidden="1" outlineLevel="3" x14ac:dyDescent="0.35">
      <c r="A462" s="78">
        <v>5</v>
      </c>
      <c r="B462" s="78" t="s">
        <v>385</v>
      </c>
      <c r="C462" s="78" t="s">
        <v>794</v>
      </c>
      <c r="D462" s="79" t="s">
        <v>334</v>
      </c>
      <c r="E462" s="87"/>
      <c r="F462" s="80">
        <f t="shared" si="14"/>
        <v>0</v>
      </c>
      <c r="G462" s="80">
        <f t="shared" si="15"/>
        <v>0</v>
      </c>
      <c r="H462" s="81"/>
      <c r="I462" s="81"/>
      <c r="J462" s="82"/>
    </row>
    <row r="463" spans="1:10" hidden="1" outlineLevel="3" x14ac:dyDescent="0.35">
      <c r="A463" s="78">
        <v>5</v>
      </c>
      <c r="B463" s="78" t="s">
        <v>385</v>
      </c>
      <c r="C463" s="78" t="s">
        <v>795</v>
      </c>
      <c r="D463" s="79" t="s">
        <v>337</v>
      </c>
      <c r="E463" s="87"/>
      <c r="F463" s="80">
        <f t="shared" si="14"/>
        <v>0</v>
      </c>
      <c r="G463" s="80">
        <f t="shared" si="15"/>
        <v>0</v>
      </c>
      <c r="H463" s="81"/>
      <c r="I463" s="81"/>
      <c r="J463" s="82"/>
    </row>
    <row r="464" spans="1:10" hidden="1" outlineLevel="3" x14ac:dyDescent="0.35">
      <c r="A464" s="78">
        <v>5</v>
      </c>
      <c r="B464" s="78" t="s">
        <v>385</v>
      </c>
      <c r="C464" s="78" t="s">
        <v>796</v>
      </c>
      <c r="D464" s="79" t="s">
        <v>33</v>
      </c>
      <c r="E464" s="87"/>
      <c r="F464" s="80">
        <f t="shared" si="14"/>
        <v>0</v>
      </c>
      <c r="G464" s="80">
        <f t="shared" si="15"/>
        <v>0</v>
      </c>
      <c r="H464" s="81"/>
      <c r="I464" s="81"/>
      <c r="J464" s="82"/>
    </row>
    <row r="465" spans="1:10" hidden="1" outlineLevel="3" x14ac:dyDescent="0.35">
      <c r="A465" s="78">
        <v>5</v>
      </c>
      <c r="B465" s="78" t="s">
        <v>385</v>
      </c>
      <c r="C465" s="78" t="s">
        <v>797</v>
      </c>
      <c r="D465" s="79" t="s">
        <v>334</v>
      </c>
      <c r="E465" s="87"/>
      <c r="F465" s="80">
        <f t="shared" si="14"/>
        <v>0</v>
      </c>
      <c r="G465" s="80">
        <f t="shared" si="15"/>
        <v>0</v>
      </c>
      <c r="H465" s="81"/>
      <c r="I465" s="81"/>
      <c r="J465" s="82"/>
    </row>
    <row r="466" spans="1:10" hidden="1" outlineLevel="3" x14ac:dyDescent="0.35">
      <c r="A466" s="78">
        <v>5</v>
      </c>
      <c r="B466" s="78" t="s">
        <v>385</v>
      </c>
      <c r="C466" s="78" t="s">
        <v>798</v>
      </c>
      <c r="D466" s="79" t="s">
        <v>350</v>
      </c>
      <c r="E466" s="87"/>
      <c r="F466" s="80">
        <f t="shared" si="14"/>
        <v>0</v>
      </c>
      <c r="G466" s="80">
        <f t="shared" si="15"/>
        <v>0</v>
      </c>
      <c r="H466" s="81"/>
      <c r="I466" s="81"/>
      <c r="J466" s="82"/>
    </row>
    <row r="467" spans="1:10" hidden="1" outlineLevel="3" x14ac:dyDescent="0.35">
      <c r="A467" s="78">
        <v>5</v>
      </c>
      <c r="B467" s="78" t="s">
        <v>385</v>
      </c>
      <c r="C467" s="78" t="s">
        <v>799</v>
      </c>
      <c r="D467" s="79" t="s">
        <v>365</v>
      </c>
      <c r="E467" s="87"/>
      <c r="F467" s="80">
        <f t="shared" si="14"/>
        <v>0</v>
      </c>
      <c r="G467" s="80">
        <f t="shared" si="15"/>
        <v>0</v>
      </c>
      <c r="H467" s="81"/>
      <c r="I467" s="81"/>
      <c r="J467" s="82"/>
    </row>
    <row r="468" spans="1:10" hidden="1" outlineLevel="2" collapsed="1" x14ac:dyDescent="0.35">
      <c r="A468" s="74">
        <v>4</v>
      </c>
      <c r="B468" s="74" t="s">
        <v>392</v>
      </c>
      <c r="C468" s="74" t="s">
        <v>800</v>
      </c>
      <c r="D468" s="75" t="s">
        <v>404</v>
      </c>
      <c r="E468" s="86" t="str">
        <f>IFERROR(SUBTOTAL(1,E469:E476),"")</f>
        <v/>
      </c>
      <c r="F468" s="74">
        <f t="shared" si="14"/>
        <v>0</v>
      </c>
      <c r="G468" s="74">
        <f t="shared" si="15"/>
        <v>0</v>
      </c>
      <c r="H468" s="76">
        <f>MIN(H469:H476)</f>
        <v>0</v>
      </c>
      <c r="I468" s="76">
        <f>MAX(I469:I476)</f>
        <v>0</v>
      </c>
      <c r="J468" s="77"/>
    </row>
    <row r="469" spans="1:10" hidden="1" outlineLevel="3" x14ac:dyDescent="0.35">
      <c r="A469" s="78">
        <v>5</v>
      </c>
      <c r="B469" s="78" t="s">
        <v>385</v>
      </c>
      <c r="C469" s="78" t="s">
        <v>801</v>
      </c>
      <c r="D469" s="79" t="s">
        <v>330</v>
      </c>
      <c r="E469" s="87"/>
      <c r="F469" s="80">
        <f t="shared" si="14"/>
        <v>0</v>
      </c>
      <c r="G469" s="80">
        <f t="shared" si="15"/>
        <v>0</v>
      </c>
      <c r="H469" s="81"/>
      <c r="I469" s="81"/>
      <c r="J469" s="82"/>
    </row>
    <row r="470" spans="1:10" hidden="1" outlineLevel="3" x14ac:dyDescent="0.35">
      <c r="A470" s="78">
        <v>5</v>
      </c>
      <c r="B470" s="78" t="s">
        <v>385</v>
      </c>
      <c r="C470" s="78" t="s">
        <v>802</v>
      </c>
      <c r="D470" s="79" t="s">
        <v>333</v>
      </c>
      <c r="E470" s="87"/>
      <c r="F470" s="80">
        <f t="shared" si="14"/>
        <v>0</v>
      </c>
      <c r="G470" s="80">
        <f t="shared" si="15"/>
        <v>0</v>
      </c>
      <c r="H470" s="81"/>
      <c r="I470" s="81"/>
      <c r="J470" s="82"/>
    </row>
    <row r="471" spans="1:10" hidden="1" outlineLevel="3" x14ac:dyDescent="0.35">
      <c r="A471" s="78">
        <v>5</v>
      </c>
      <c r="B471" s="78" t="s">
        <v>385</v>
      </c>
      <c r="C471" s="78" t="s">
        <v>803</v>
      </c>
      <c r="D471" s="79" t="s">
        <v>336</v>
      </c>
      <c r="E471" s="87"/>
      <c r="F471" s="80">
        <f t="shared" si="14"/>
        <v>0</v>
      </c>
      <c r="G471" s="80">
        <f t="shared" si="15"/>
        <v>0</v>
      </c>
      <c r="H471" s="81"/>
      <c r="I471" s="81"/>
      <c r="J471" s="82"/>
    </row>
    <row r="472" spans="1:10" hidden="1" outlineLevel="3" x14ac:dyDescent="0.35">
      <c r="A472" s="78">
        <v>5</v>
      </c>
      <c r="B472" s="78" t="s">
        <v>385</v>
      </c>
      <c r="C472" s="78" t="s">
        <v>804</v>
      </c>
      <c r="D472" s="79" t="s">
        <v>336</v>
      </c>
      <c r="E472" s="87"/>
      <c r="F472" s="80">
        <f t="shared" si="14"/>
        <v>0</v>
      </c>
      <c r="G472" s="80">
        <f t="shared" si="15"/>
        <v>0</v>
      </c>
      <c r="H472" s="81"/>
      <c r="I472" s="81"/>
      <c r="J472" s="82"/>
    </row>
    <row r="473" spans="1:10" hidden="1" outlineLevel="3" x14ac:dyDescent="0.35">
      <c r="A473" s="78">
        <v>5</v>
      </c>
      <c r="B473" s="78" t="s">
        <v>385</v>
      </c>
      <c r="C473" s="78" t="s">
        <v>805</v>
      </c>
      <c r="D473" s="79" t="s">
        <v>351</v>
      </c>
      <c r="E473" s="87"/>
      <c r="F473" s="80">
        <f t="shared" si="14"/>
        <v>0</v>
      </c>
      <c r="G473" s="80">
        <f t="shared" si="15"/>
        <v>0</v>
      </c>
      <c r="H473" s="81"/>
      <c r="I473" s="81"/>
      <c r="J473" s="82"/>
    </row>
    <row r="474" spans="1:10" hidden="1" outlineLevel="3" x14ac:dyDescent="0.35">
      <c r="A474" s="78">
        <v>5</v>
      </c>
      <c r="B474" s="78" t="s">
        <v>385</v>
      </c>
      <c r="C474" s="78" t="s">
        <v>806</v>
      </c>
      <c r="D474" s="79"/>
      <c r="E474" s="87"/>
      <c r="F474" s="80">
        <f t="shared" si="14"/>
        <v>0</v>
      </c>
      <c r="G474" s="80">
        <f t="shared" si="15"/>
        <v>0</v>
      </c>
      <c r="H474" s="81"/>
      <c r="I474" s="81"/>
      <c r="J474" s="82"/>
    </row>
    <row r="475" spans="1:10" hidden="1" outlineLevel="3" x14ac:dyDescent="0.35">
      <c r="A475" s="78">
        <v>5</v>
      </c>
      <c r="B475" s="78" t="s">
        <v>385</v>
      </c>
      <c r="C475" s="78" t="s">
        <v>807</v>
      </c>
      <c r="D475" s="79"/>
      <c r="E475" s="87"/>
      <c r="F475" s="80">
        <f t="shared" si="14"/>
        <v>0</v>
      </c>
      <c r="G475" s="80">
        <f t="shared" si="15"/>
        <v>0</v>
      </c>
      <c r="H475" s="81"/>
      <c r="I475" s="81"/>
      <c r="J475" s="82"/>
    </row>
    <row r="476" spans="1:10" hidden="1" outlineLevel="3" x14ac:dyDescent="0.35">
      <c r="A476" s="78">
        <v>5</v>
      </c>
      <c r="B476" s="78" t="s">
        <v>385</v>
      </c>
      <c r="C476" s="78" t="s">
        <v>808</v>
      </c>
      <c r="D476" s="79"/>
      <c r="E476" s="87"/>
      <c r="F476" s="80">
        <f t="shared" si="14"/>
        <v>0</v>
      </c>
      <c r="G476" s="80">
        <f t="shared" si="15"/>
        <v>0</v>
      </c>
      <c r="H476" s="81"/>
      <c r="I476" s="81"/>
      <c r="J476" s="82"/>
    </row>
    <row r="477" spans="1:10" hidden="1" outlineLevel="2" collapsed="1" x14ac:dyDescent="0.35">
      <c r="A477" s="74">
        <v>4</v>
      </c>
      <c r="B477" s="74" t="s">
        <v>392</v>
      </c>
      <c r="C477" s="74" t="s">
        <v>809</v>
      </c>
      <c r="D477" s="75" t="s">
        <v>414</v>
      </c>
      <c r="E477" s="86" t="str">
        <f>IFERROR(SUBTOTAL(1,E478:E485),"")</f>
        <v/>
      </c>
      <c r="F477" s="74">
        <f t="shared" si="14"/>
        <v>0</v>
      </c>
      <c r="G477" s="74">
        <f t="shared" si="15"/>
        <v>0</v>
      </c>
      <c r="H477" s="76">
        <f>MIN(H478:H485)</f>
        <v>0</v>
      </c>
      <c r="I477" s="76">
        <f>MAX(I478:I485)</f>
        <v>0</v>
      </c>
      <c r="J477" s="77"/>
    </row>
    <row r="478" spans="1:10" hidden="1" outlineLevel="3" x14ac:dyDescent="0.35">
      <c r="A478" s="78">
        <v>5</v>
      </c>
      <c r="B478" s="78" t="s">
        <v>385</v>
      </c>
      <c r="C478" s="78" t="s">
        <v>810</v>
      </c>
      <c r="D478" s="79" t="s">
        <v>335</v>
      </c>
      <c r="E478" s="87"/>
      <c r="F478" s="80">
        <f t="shared" si="14"/>
        <v>0</v>
      </c>
      <c r="G478" s="80">
        <f t="shared" si="15"/>
        <v>0</v>
      </c>
      <c r="H478" s="81"/>
      <c r="I478" s="81"/>
      <c r="J478" s="82"/>
    </row>
    <row r="479" spans="1:10" hidden="1" outlineLevel="3" x14ac:dyDescent="0.35">
      <c r="A479" s="78">
        <v>5</v>
      </c>
      <c r="B479" s="78" t="s">
        <v>385</v>
      </c>
      <c r="C479" s="78" t="s">
        <v>811</v>
      </c>
      <c r="D479" s="79" t="s">
        <v>335</v>
      </c>
      <c r="E479" s="87"/>
      <c r="F479" s="80">
        <f t="shared" si="14"/>
        <v>0</v>
      </c>
      <c r="G479" s="80">
        <f t="shared" si="15"/>
        <v>0</v>
      </c>
      <c r="H479" s="81"/>
      <c r="I479" s="81"/>
      <c r="J479" s="82"/>
    </row>
    <row r="480" spans="1:10" hidden="1" outlineLevel="3" x14ac:dyDescent="0.35">
      <c r="A480" s="78">
        <v>5</v>
      </c>
      <c r="B480" s="78" t="s">
        <v>385</v>
      </c>
      <c r="C480" s="78" t="s">
        <v>812</v>
      </c>
      <c r="D480" s="79"/>
      <c r="E480" s="87"/>
      <c r="F480" s="80">
        <f t="shared" si="14"/>
        <v>0</v>
      </c>
      <c r="G480" s="80">
        <f t="shared" si="15"/>
        <v>0</v>
      </c>
      <c r="H480" s="81"/>
      <c r="I480" s="81"/>
      <c r="J480" s="82"/>
    </row>
    <row r="481" spans="1:10" hidden="1" outlineLevel="3" x14ac:dyDescent="0.35">
      <c r="A481" s="78">
        <v>5</v>
      </c>
      <c r="B481" s="78" t="s">
        <v>385</v>
      </c>
      <c r="C481" s="78" t="s">
        <v>813</v>
      </c>
      <c r="D481" s="79"/>
      <c r="E481" s="87"/>
      <c r="F481" s="80">
        <f t="shared" si="14"/>
        <v>0</v>
      </c>
      <c r="G481" s="80">
        <f t="shared" si="15"/>
        <v>0</v>
      </c>
      <c r="H481" s="81"/>
      <c r="I481" s="81"/>
      <c r="J481" s="82"/>
    </row>
    <row r="482" spans="1:10" hidden="1" outlineLevel="3" x14ac:dyDescent="0.35">
      <c r="A482" s="78">
        <v>5</v>
      </c>
      <c r="B482" s="78" t="s">
        <v>385</v>
      </c>
      <c r="C482" s="78" t="s">
        <v>814</v>
      </c>
      <c r="D482" s="79"/>
      <c r="E482" s="87"/>
      <c r="F482" s="80">
        <f t="shared" si="14"/>
        <v>0</v>
      </c>
      <c r="G482" s="80">
        <f t="shared" si="15"/>
        <v>0</v>
      </c>
      <c r="H482" s="81"/>
      <c r="I482" s="81"/>
      <c r="J482" s="82"/>
    </row>
    <row r="483" spans="1:10" hidden="1" outlineLevel="3" x14ac:dyDescent="0.35">
      <c r="A483" s="78">
        <v>5</v>
      </c>
      <c r="B483" s="78" t="s">
        <v>385</v>
      </c>
      <c r="C483" s="78" t="s">
        <v>815</v>
      </c>
      <c r="D483" s="79"/>
      <c r="E483" s="87"/>
      <c r="F483" s="80">
        <f t="shared" si="14"/>
        <v>0</v>
      </c>
      <c r="G483" s="80">
        <f t="shared" si="15"/>
        <v>0</v>
      </c>
      <c r="H483" s="81"/>
      <c r="I483" s="81"/>
      <c r="J483" s="82"/>
    </row>
    <row r="484" spans="1:10" hidden="1" outlineLevel="3" x14ac:dyDescent="0.35">
      <c r="A484" s="78">
        <v>5</v>
      </c>
      <c r="B484" s="78" t="s">
        <v>385</v>
      </c>
      <c r="C484" s="78" t="s">
        <v>816</v>
      </c>
      <c r="D484" s="79"/>
      <c r="E484" s="87"/>
      <c r="F484" s="80">
        <f t="shared" si="14"/>
        <v>0</v>
      </c>
      <c r="G484" s="80">
        <f t="shared" si="15"/>
        <v>0</v>
      </c>
      <c r="H484" s="81"/>
      <c r="I484" s="81"/>
      <c r="J484" s="82"/>
    </row>
    <row r="485" spans="1:10" hidden="1" outlineLevel="3" x14ac:dyDescent="0.35">
      <c r="A485" s="78">
        <v>5</v>
      </c>
      <c r="B485" s="78" t="s">
        <v>385</v>
      </c>
      <c r="C485" s="78" t="s">
        <v>817</v>
      </c>
      <c r="D485" s="79"/>
      <c r="E485" s="87"/>
      <c r="F485" s="80">
        <f t="shared" si="14"/>
        <v>0</v>
      </c>
      <c r="G485" s="80">
        <f t="shared" si="15"/>
        <v>0</v>
      </c>
      <c r="H485" s="81"/>
      <c r="I485" s="81"/>
      <c r="J485" s="82"/>
    </row>
    <row r="486" spans="1:10" hidden="1" outlineLevel="2" collapsed="1" x14ac:dyDescent="0.35">
      <c r="A486" s="74">
        <v>4</v>
      </c>
      <c r="B486" s="74" t="s">
        <v>392</v>
      </c>
      <c r="C486" s="74" t="s">
        <v>818</v>
      </c>
      <c r="D486" s="75" t="s">
        <v>424</v>
      </c>
      <c r="E486" s="86" t="str">
        <f>IFERROR(SUBTOTAL(1,E487:E494),"")</f>
        <v/>
      </c>
      <c r="F486" s="74">
        <f t="shared" si="14"/>
        <v>0</v>
      </c>
      <c r="G486" s="74">
        <f t="shared" si="15"/>
        <v>0</v>
      </c>
      <c r="H486" s="76">
        <f>MIN(H487:H494)</f>
        <v>0</v>
      </c>
      <c r="I486" s="76">
        <f>MAX(I487:I494)</f>
        <v>0</v>
      </c>
      <c r="J486" s="77"/>
    </row>
    <row r="487" spans="1:10" hidden="1" outlineLevel="3" x14ac:dyDescent="0.35">
      <c r="A487" s="78">
        <v>5</v>
      </c>
      <c r="B487" s="78" t="s">
        <v>385</v>
      </c>
      <c r="C487" s="78" t="s">
        <v>819</v>
      </c>
      <c r="D487" s="79"/>
      <c r="E487" s="87"/>
      <c r="F487" s="80">
        <f t="shared" si="14"/>
        <v>0</v>
      </c>
      <c r="G487" s="80">
        <f t="shared" si="15"/>
        <v>0</v>
      </c>
      <c r="H487" s="81"/>
      <c r="I487" s="81"/>
      <c r="J487" s="82"/>
    </row>
    <row r="488" spans="1:10" hidden="1" outlineLevel="3" x14ac:dyDescent="0.35">
      <c r="A488" s="78">
        <v>5</v>
      </c>
      <c r="B488" s="78" t="s">
        <v>385</v>
      </c>
      <c r="C488" s="78" t="s">
        <v>820</v>
      </c>
      <c r="D488" s="79"/>
      <c r="E488" s="87"/>
      <c r="F488" s="80">
        <f t="shared" si="14"/>
        <v>0</v>
      </c>
      <c r="G488" s="80">
        <f t="shared" si="15"/>
        <v>0</v>
      </c>
      <c r="H488" s="81"/>
      <c r="I488" s="81"/>
      <c r="J488" s="82"/>
    </row>
    <row r="489" spans="1:10" hidden="1" outlineLevel="3" x14ac:dyDescent="0.35">
      <c r="A489" s="78">
        <v>5</v>
      </c>
      <c r="B489" s="78" t="s">
        <v>385</v>
      </c>
      <c r="C489" s="78" t="s">
        <v>821</v>
      </c>
      <c r="D489" s="79"/>
      <c r="E489" s="87"/>
      <c r="F489" s="80">
        <f t="shared" si="14"/>
        <v>0</v>
      </c>
      <c r="G489" s="80">
        <f t="shared" si="15"/>
        <v>0</v>
      </c>
      <c r="H489" s="81"/>
      <c r="I489" s="81"/>
      <c r="J489" s="82"/>
    </row>
    <row r="490" spans="1:10" hidden="1" outlineLevel="3" x14ac:dyDescent="0.35">
      <c r="A490" s="78">
        <v>5</v>
      </c>
      <c r="B490" s="78" t="s">
        <v>385</v>
      </c>
      <c r="C490" s="78" t="s">
        <v>822</v>
      </c>
      <c r="D490" s="79"/>
      <c r="E490" s="87"/>
      <c r="F490" s="80">
        <f t="shared" si="14"/>
        <v>0</v>
      </c>
      <c r="G490" s="80">
        <f t="shared" si="15"/>
        <v>0</v>
      </c>
      <c r="H490" s="81"/>
      <c r="I490" s="81"/>
      <c r="J490" s="82"/>
    </row>
    <row r="491" spans="1:10" hidden="1" outlineLevel="3" x14ac:dyDescent="0.35">
      <c r="A491" s="78">
        <v>5</v>
      </c>
      <c r="B491" s="78" t="s">
        <v>385</v>
      </c>
      <c r="C491" s="78" t="s">
        <v>823</v>
      </c>
      <c r="D491" s="79"/>
      <c r="E491" s="87"/>
      <c r="F491" s="80">
        <f t="shared" si="14"/>
        <v>0</v>
      </c>
      <c r="G491" s="80">
        <f t="shared" si="15"/>
        <v>0</v>
      </c>
      <c r="H491" s="81"/>
      <c r="I491" s="81"/>
      <c r="J491" s="82"/>
    </row>
    <row r="492" spans="1:10" hidden="1" outlineLevel="3" x14ac:dyDescent="0.35">
      <c r="A492" s="78">
        <v>5</v>
      </c>
      <c r="B492" s="78" t="s">
        <v>385</v>
      </c>
      <c r="C492" s="78" t="s">
        <v>824</v>
      </c>
      <c r="D492" s="79"/>
      <c r="E492" s="87"/>
      <c r="F492" s="80">
        <f t="shared" si="14"/>
        <v>0</v>
      </c>
      <c r="G492" s="80">
        <f t="shared" si="15"/>
        <v>0</v>
      </c>
      <c r="H492" s="81"/>
      <c r="I492" s="81"/>
      <c r="J492" s="82"/>
    </row>
    <row r="493" spans="1:10" hidden="1" outlineLevel="3" x14ac:dyDescent="0.35">
      <c r="A493" s="78">
        <v>5</v>
      </c>
      <c r="B493" s="78" t="s">
        <v>385</v>
      </c>
      <c r="C493" s="78" t="s">
        <v>825</v>
      </c>
      <c r="D493" s="79"/>
      <c r="E493" s="87"/>
      <c r="F493" s="80">
        <f t="shared" si="14"/>
        <v>0</v>
      </c>
      <c r="G493" s="80">
        <f t="shared" si="15"/>
        <v>0</v>
      </c>
      <c r="H493" s="81"/>
      <c r="I493" s="81"/>
      <c r="J493" s="82"/>
    </row>
    <row r="494" spans="1:10" hidden="1" outlineLevel="3" x14ac:dyDescent="0.35">
      <c r="A494" s="78">
        <v>5</v>
      </c>
      <c r="B494" s="78" t="s">
        <v>385</v>
      </c>
      <c r="C494" s="78" t="s">
        <v>826</v>
      </c>
      <c r="D494" s="79"/>
      <c r="E494" s="87"/>
      <c r="F494" s="80">
        <f t="shared" si="14"/>
        <v>0</v>
      </c>
      <c r="G494" s="80">
        <f t="shared" si="15"/>
        <v>0</v>
      </c>
      <c r="H494" s="81"/>
      <c r="I494" s="81"/>
      <c r="J494" s="82"/>
    </row>
    <row r="495" spans="1:10" hidden="1" outlineLevel="2" collapsed="1" x14ac:dyDescent="0.35">
      <c r="A495" s="74">
        <v>4</v>
      </c>
      <c r="B495" s="74" t="s">
        <v>392</v>
      </c>
      <c r="C495" s="74" t="s">
        <v>827</v>
      </c>
      <c r="D495" s="75" t="s">
        <v>434</v>
      </c>
      <c r="E495" s="86" t="str">
        <f>IFERROR(SUBTOTAL(1,E496:E503),"")</f>
        <v/>
      </c>
      <c r="F495" s="74">
        <f t="shared" si="14"/>
        <v>0</v>
      </c>
      <c r="G495" s="74">
        <f t="shared" si="15"/>
        <v>0</v>
      </c>
      <c r="H495" s="76">
        <f>MIN(H496:H503)</f>
        <v>0</v>
      </c>
      <c r="I495" s="76">
        <f>MAX(I496:I503)</f>
        <v>0</v>
      </c>
      <c r="J495" s="77"/>
    </row>
    <row r="496" spans="1:10" hidden="1" outlineLevel="3" x14ac:dyDescent="0.35">
      <c r="A496" s="78">
        <v>5</v>
      </c>
      <c r="B496" s="78" t="s">
        <v>385</v>
      </c>
      <c r="C496" s="78" t="s">
        <v>828</v>
      </c>
      <c r="D496" s="79" t="s">
        <v>329</v>
      </c>
      <c r="E496" s="87"/>
      <c r="F496" s="80">
        <f t="shared" si="14"/>
        <v>0</v>
      </c>
      <c r="G496" s="80">
        <f t="shared" si="15"/>
        <v>0</v>
      </c>
      <c r="H496" s="81"/>
      <c r="I496" s="81"/>
      <c r="J496" s="82"/>
    </row>
    <row r="497" spans="1:10" hidden="1" outlineLevel="3" x14ac:dyDescent="0.35">
      <c r="A497" s="78">
        <v>5</v>
      </c>
      <c r="B497" s="78" t="s">
        <v>385</v>
      </c>
      <c r="C497" s="78" t="s">
        <v>829</v>
      </c>
      <c r="D497" s="79" t="s">
        <v>331</v>
      </c>
      <c r="E497" s="87"/>
      <c r="F497" s="80">
        <f t="shared" si="14"/>
        <v>0</v>
      </c>
      <c r="G497" s="80">
        <f t="shared" si="15"/>
        <v>0</v>
      </c>
      <c r="H497" s="81"/>
      <c r="I497" s="81"/>
      <c r="J497" s="82"/>
    </row>
    <row r="498" spans="1:10" hidden="1" outlineLevel="3" x14ac:dyDescent="0.35">
      <c r="A498" s="78">
        <v>5</v>
      </c>
      <c r="B498" s="78" t="s">
        <v>385</v>
      </c>
      <c r="C498" s="78" t="s">
        <v>830</v>
      </c>
      <c r="D498" s="79"/>
      <c r="E498" s="87"/>
      <c r="F498" s="80">
        <f t="shared" si="14"/>
        <v>0</v>
      </c>
      <c r="G498" s="80">
        <f t="shared" si="15"/>
        <v>0</v>
      </c>
      <c r="H498" s="81"/>
      <c r="I498" s="81"/>
      <c r="J498" s="82"/>
    </row>
    <row r="499" spans="1:10" hidden="1" outlineLevel="3" x14ac:dyDescent="0.35">
      <c r="A499" s="78">
        <v>5</v>
      </c>
      <c r="B499" s="78" t="s">
        <v>385</v>
      </c>
      <c r="C499" s="78" t="s">
        <v>831</v>
      </c>
      <c r="D499" s="79"/>
      <c r="E499" s="87"/>
      <c r="F499" s="80">
        <f t="shared" si="14"/>
        <v>0</v>
      </c>
      <c r="G499" s="80">
        <f t="shared" si="15"/>
        <v>0</v>
      </c>
      <c r="H499" s="81"/>
      <c r="I499" s="81"/>
      <c r="J499" s="82"/>
    </row>
    <row r="500" spans="1:10" hidden="1" outlineLevel="3" x14ac:dyDescent="0.35">
      <c r="A500" s="78">
        <v>5</v>
      </c>
      <c r="B500" s="78" t="s">
        <v>385</v>
      </c>
      <c r="C500" s="78" t="s">
        <v>832</v>
      </c>
      <c r="D500" s="79"/>
      <c r="E500" s="87"/>
      <c r="F500" s="80">
        <f t="shared" si="14"/>
        <v>0</v>
      </c>
      <c r="G500" s="80">
        <f t="shared" si="15"/>
        <v>0</v>
      </c>
      <c r="H500" s="81"/>
      <c r="I500" s="81"/>
      <c r="J500" s="82"/>
    </row>
    <row r="501" spans="1:10" hidden="1" outlineLevel="3" x14ac:dyDescent="0.35">
      <c r="A501" s="78">
        <v>5</v>
      </c>
      <c r="B501" s="78" t="s">
        <v>385</v>
      </c>
      <c r="C501" s="78" t="s">
        <v>833</v>
      </c>
      <c r="D501" s="79"/>
      <c r="E501" s="87"/>
      <c r="F501" s="80">
        <f t="shared" si="14"/>
        <v>0</v>
      </c>
      <c r="G501" s="80">
        <f t="shared" si="15"/>
        <v>0</v>
      </c>
      <c r="H501" s="81"/>
      <c r="I501" s="81"/>
      <c r="J501" s="82"/>
    </row>
    <row r="502" spans="1:10" hidden="1" outlineLevel="3" x14ac:dyDescent="0.35">
      <c r="A502" s="78">
        <v>5</v>
      </c>
      <c r="B502" s="78" t="s">
        <v>385</v>
      </c>
      <c r="C502" s="78" t="s">
        <v>834</v>
      </c>
      <c r="D502" s="79"/>
      <c r="E502" s="87"/>
      <c r="F502" s="80">
        <f t="shared" si="14"/>
        <v>0</v>
      </c>
      <c r="G502" s="80">
        <f t="shared" si="15"/>
        <v>0</v>
      </c>
      <c r="H502" s="81"/>
      <c r="I502" s="81"/>
      <c r="J502" s="82"/>
    </row>
    <row r="503" spans="1:10" hidden="1" outlineLevel="3" x14ac:dyDescent="0.35">
      <c r="A503" s="78">
        <v>5</v>
      </c>
      <c r="B503" s="78" t="s">
        <v>385</v>
      </c>
      <c r="C503" s="78" t="s">
        <v>835</v>
      </c>
      <c r="D503" s="79"/>
      <c r="E503" s="87"/>
      <c r="F503" s="80">
        <f t="shared" si="14"/>
        <v>0</v>
      </c>
      <c r="G503" s="80">
        <f t="shared" si="15"/>
        <v>0</v>
      </c>
      <c r="H503" s="81"/>
      <c r="I503" s="81"/>
      <c r="J503" s="82"/>
    </row>
    <row r="504" spans="1:10" hidden="1" outlineLevel="2" collapsed="1" x14ac:dyDescent="0.35">
      <c r="A504" s="74">
        <v>4</v>
      </c>
      <c r="B504" s="74" t="s">
        <v>392</v>
      </c>
      <c r="C504" s="74" t="s">
        <v>836</v>
      </c>
      <c r="D504" s="75" t="s">
        <v>444</v>
      </c>
      <c r="E504" s="86" t="str">
        <f>IFERROR(SUBTOTAL(1,E505:E512),"")</f>
        <v/>
      </c>
      <c r="F504" s="74">
        <f t="shared" si="14"/>
        <v>0</v>
      </c>
      <c r="G504" s="74">
        <f t="shared" si="15"/>
        <v>0</v>
      </c>
      <c r="H504" s="76">
        <f>MIN(H505:H512)</f>
        <v>0</v>
      </c>
      <c r="I504" s="76">
        <f>MAX(I505:I512)</f>
        <v>0</v>
      </c>
      <c r="J504" s="77"/>
    </row>
    <row r="505" spans="1:10" hidden="1" outlineLevel="3" x14ac:dyDescent="0.35">
      <c r="A505" s="78">
        <v>5</v>
      </c>
      <c r="B505" s="78" t="s">
        <v>385</v>
      </c>
      <c r="C505" s="78" t="s">
        <v>1565</v>
      </c>
      <c r="D505" s="79"/>
      <c r="E505" s="87"/>
      <c r="F505" s="80">
        <f t="shared" si="14"/>
        <v>0</v>
      </c>
      <c r="G505" s="80">
        <f t="shared" si="15"/>
        <v>0</v>
      </c>
      <c r="H505" s="81"/>
      <c r="I505" s="81"/>
      <c r="J505" s="82"/>
    </row>
    <row r="506" spans="1:10" hidden="1" outlineLevel="3" x14ac:dyDescent="0.35">
      <c r="A506" s="78">
        <v>5</v>
      </c>
      <c r="B506" s="78" t="s">
        <v>385</v>
      </c>
      <c r="C506" s="78" t="s">
        <v>1566</v>
      </c>
      <c r="D506" s="79"/>
      <c r="E506" s="87"/>
      <c r="F506" s="80">
        <f t="shared" si="14"/>
        <v>0</v>
      </c>
      <c r="G506" s="80">
        <f t="shared" si="15"/>
        <v>0</v>
      </c>
      <c r="H506" s="81"/>
      <c r="I506" s="81"/>
      <c r="J506" s="82"/>
    </row>
    <row r="507" spans="1:10" hidden="1" outlineLevel="3" x14ac:dyDescent="0.35">
      <c r="A507" s="78">
        <v>5</v>
      </c>
      <c r="B507" s="78" t="s">
        <v>385</v>
      </c>
      <c r="C507" s="78" t="s">
        <v>1567</v>
      </c>
      <c r="D507" s="79"/>
      <c r="E507" s="87"/>
      <c r="F507" s="80">
        <f t="shared" si="14"/>
        <v>0</v>
      </c>
      <c r="G507" s="80">
        <f t="shared" si="15"/>
        <v>0</v>
      </c>
      <c r="H507" s="81"/>
      <c r="I507" s="81"/>
      <c r="J507" s="82"/>
    </row>
    <row r="508" spans="1:10" hidden="1" outlineLevel="3" x14ac:dyDescent="0.35">
      <c r="A508" s="78">
        <v>5</v>
      </c>
      <c r="B508" s="78" t="s">
        <v>385</v>
      </c>
      <c r="C508" s="78" t="s">
        <v>1568</v>
      </c>
      <c r="D508" s="79"/>
      <c r="E508" s="87"/>
      <c r="F508" s="80">
        <f t="shared" si="14"/>
        <v>0</v>
      </c>
      <c r="G508" s="80">
        <f t="shared" si="15"/>
        <v>0</v>
      </c>
      <c r="H508" s="81"/>
      <c r="I508" s="81"/>
      <c r="J508" s="82"/>
    </row>
    <row r="509" spans="1:10" hidden="1" outlineLevel="3" x14ac:dyDescent="0.35">
      <c r="A509" s="78">
        <v>5</v>
      </c>
      <c r="B509" s="78" t="s">
        <v>385</v>
      </c>
      <c r="C509" s="78" t="s">
        <v>1569</v>
      </c>
      <c r="D509" s="79"/>
      <c r="E509" s="87"/>
      <c r="F509" s="80">
        <f t="shared" si="14"/>
        <v>0</v>
      </c>
      <c r="G509" s="80">
        <f t="shared" si="15"/>
        <v>0</v>
      </c>
      <c r="H509" s="81"/>
      <c r="I509" s="81"/>
      <c r="J509" s="82"/>
    </row>
    <row r="510" spans="1:10" hidden="1" outlineLevel="3" x14ac:dyDescent="0.35">
      <c r="A510" s="78">
        <v>5</v>
      </c>
      <c r="B510" s="78" t="s">
        <v>385</v>
      </c>
      <c r="C510" s="78" t="s">
        <v>1570</v>
      </c>
      <c r="D510" s="79"/>
      <c r="E510" s="87"/>
      <c r="F510" s="80">
        <f t="shared" si="14"/>
        <v>0</v>
      </c>
      <c r="G510" s="80">
        <f t="shared" si="15"/>
        <v>0</v>
      </c>
      <c r="H510" s="81"/>
      <c r="I510" s="81"/>
      <c r="J510" s="82"/>
    </row>
    <row r="511" spans="1:10" hidden="1" outlineLevel="3" x14ac:dyDescent="0.35">
      <c r="A511" s="78">
        <v>5</v>
      </c>
      <c r="B511" s="78" t="s">
        <v>385</v>
      </c>
      <c r="C511" s="78" t="s">
        <v>1571</v>
      </c>
      <c r="D511" s="79"/>
      <c r="E511" s="87"/>
      <c r="F511" s="80">
        <f t="shared" si="14"/>
        <v>0</v>
      </c>
      <c r="G511" s="80">
        <f t="shared" si="15"/>
        <v>0</v>
      </c>
      <c r="H511" s="81"/>
      <c r="I511" s="81"/>
      <c r="J511" s="82"/>
    </row>
    <row r="512" spans="1:10" hidden="1" outlineLevel="3" x14ac:dyDescent="0.35">
      <c r="A512" s="78">
        <v>5</v>
      </c>
      <c r="B512" s="78" t="s">
        <v>385</v>
      </c>
      <c r="C512" s="78" t="s">
        <v>1572</v>
      </c>
      <c r="D512" s="79"/>
      <c r="E512" s="87"/>
      <c r="F512" s="80">
        <f t="shared" si="14"/>
        <v>0</v>
      </c>
      <c r="G512" s="80">
        <f t="shared" si="15"/>
        <v>0</v>
      </c>
      <c r="H512" s="81"/>
      <c r="I512" s="81"/>
      <c r="J512" s="82"/>
    </row>
    <row r="513" spans="1:10" outlineLevel="1" collapsed="1" x14ac:dyDescent="0.35">
      <c r="A513" s="67">
        <v>3</v>
      </c>
      <c r="B513" s="67" t="s">
        <v>298</v>
      </c>
      <c r="C513" s="67" t="s">
        <v>837</v>
      </c>
      <c r="D513" s="73" t="s">
        <v>838</v>
      </c>
      <c r="E513" s="85" t="str">
        <f>IFERROR(AVERAGE(E514,E523,E532,E541,E550,E559),"")</f>
        <v/>
      </c>
      <c r="F513" s="67">
        <f t="shared" si="14"/>
        <v>0</v>
      </c>
      <c r="G513" s="67">
        <f t="shared" si="15"/>
        <v>0</v>
      </c>
      <c r="H513" s="72">
        <f>MIN(H514,H523,H532,H541,H550,H559)</f>
        <v>0</v>
      </c>
      <c r="I513" s="72">
        <f>MAX(I514,I523,I532,I541,I550,I559)</f>
        <v>0</v>
      </c>
      <c r="J513" s="71"/>
    </row>
    <row r="514" spans="1:10" hidden="1" outlineLevel="2" collapsed="1" x14ac:dyDescent="0.35">
      <c r="A514" s="74">
        <v>4</v>
      </c>
      <c r="B514" s="74" t="s">
        <v>392</v>
      </c>
      <c r="C514" s="74" t="s">
        <v>839</v>
      </c>
      <c r="D514" s="75" t="s">
        <v>394</v>
      </c>
      <c r="E514" s="86" t="str">
        <f>IFERROR(SUBTOTAL(1,E515:E522),"")</f>
        <v/>
      </c>
      <c r="F514" s="74">
        <f t="shared" si="14"/>
        <v>0</v>
      </c>
      <c r="G514" s="74">
        <f t="shared" si="15"/>
        <v>0</v>
      </c>
      <c r="H514" s="76">
        <f>MIN(H515:H522)</f>
        <v>0</v>
      </c>
      <c r="I514" s="76">
        <f>MAX(I515:I522)</f>
        <v>0</v>
      </c>
      <c r="J514" s="77"/>
    </row>
    <row r="515" spans="1:10" hidden="1" outlineLevel="3" x14ac:dyDescent="0.35">
      <c r="A515" s="78">
        <v>5</v>
      </c>
      <c r="B515" s="78" t="s">
        <v>385</v>
      </c>
      <c r="C515" s="78" t="s">
        <v>840</v>
      </c>
      <c r="D515" s="79" t="s">
        <v>76</v>
      </c>
      <c r="E515" s="87"/>
      <c r="F515" s="80">
        <f t="shared" si="14"/>
        <v>0</v>
      </c>
      <c r="G515" s="80">
        <f t="shared" si="15"/>
        <v>0</v>
      </c>
      <c r="H515" s="81"/>
      <c r="I515" s="81"/>
      <c r="J515" s="82"/>
    </row>
    <row r="516" spans="1:10" hidden="1" outlineLevel="3" x14ac:dyDescent="0.35">
      <c r="A516" s="78">
        <v>5</v>
      </c>
      <c r="B516" s="78" t="s">
        <v>385</v>
      </c>
      <c r="C516" s="78" t="s">
        <v>841</v>
      </c>
      <c r="D516" s="79" t="s">
        <v>68</v>
      </c>
      <c r="E516" s="87"/>
      <c r="F516" s="80">
        <f t="shared" si="14"/>
        <v>0</v>
      </c>
      <c r="G516" s="80">
        <f t="shared" si="15"/>
        <v>0</v>
      </c>
      <c r="H516" s="81"/>
      <c r="I516" s="81"/>
      <c r="J516" s="82"/>
    </row>
    <row r="517" spans="1:10" hidden="1" outlineLevel="3" x14ac:dyDescent="0.35">
      <c r="A517" s="78">
        <v>5</v>
      </c>
      <c r="B517" s="78" t="s">
        <v>385</v>
      </c>
      <c r="C517" s="78" t="s">
        <v>842</v>
      </c>
      <c r="D517" s="79"/>
      <c r="E517" s="87"/>
      <c r="F517" s="80">
        <f t="shared" si="14"/>
        <v>0</v>
      </c>
      <c r="G517" s="80">
        <f t="shared" si="15"/>
        <v>0</v>
      </c>
      <c r="H517" s="81"/>
      <c r="I517" s="81"/>
      <c r="J517" s="82"/>
    </row>
    <row r="518" spans="1:10" hidden="1" outlineLevel="3" x14ac:dyDescent="0.35">
      <c r="A518" s="78">
        <v>5</v>
      </c>
      <c r="B518" s="78" t="s">
        <v>385</v>
      </c>
      <c r="C518" s="78" t="s">
        <v>843</v>
      </c>
      <c r="D518" s="79"/>
      <c r="E518" s="87"/>
      <c r="F518" s="80">
        <f t="shared" ref="F518:F581" si="16">IFERROR(DATEDIF(H518,I518,"D"),0)</f>
        <v>0</v>
      </c>
      <c r="G518" s="80">
        <f t="shared" ref="G518:G581" si="17">IFERROR(NETWORKDAYS.INTL(H518,I518),0)</f>
        <v>0</v>
      </c>
      <c r="H518" s="81"/>
      <c r="I518" s="81"/>
      <c r="J518" s="82"/>
    </row>
    <row r="519" spans="1:10" hidden="1" outlineLevel="3" x14ac:dyDescent="0.35">
      <c r="A519" s="78">
        <v>5</v>
      </c>
      <c r="B519" s="78" t="s">
        <v>385</v>
      </c>
      <c r="C519" s="78" t="s">
        <v>844</v>
      </c>
      <c r="D519" s="79"/>
      <c r="E519" s="87"/>
      <c r="F519" s="80">
        <f t="shared" si="16"/>
        <v>0</v>
      </c>
      <c r="G519" s="80">
        <f t="shared" si="17"/>
        <v>0</v>
      </c>
      <c r="H519" s="81"/>
      <c r="I519" s="81"/>
      <c r="J519" s="82"/>
    </row>
    <row r="520" spans="1:10" hidden="1" outlineLevel="3" x14ac:dyDescent="0.35">
      <c r="A520" s="78">
        <v>5</v>
      </c>
      <c r="B520" s="78" t="s">
        <v>385</v>
      </c>
      <c r="C520" s="78" t="s">
        <v>845</v>
      </c>
      <c r="D520" s="79"/>
      <c r="E520" s="87"/>
      <c r="F520" s="80">
        <f t="shared" si="16"/>
        <v>0</v>
      </c>
      <c r="G520" s="80">
        <f t="shared" si="17"/>
        <v>0</v>
      </c>
      <c r="H520" s="81"/>
      <c r="I520" s="81"/>
      <c r="J520" s="82"/>
    </row>
    <row r="521" spans="1:10" hidden="1" outlineLevel="3" x14ac:dyDescent="0.35">
      <c r="A521" s="78">
        <v>5</v>
      </c>
      <c r="B521" s="78" t="s">
        <v>385</v>
      </c>
      <c r="C521" s="78" t="s">
        <v>846</v>
      </c>
      <c r="D521" s="79"/>
      <c r="E521" s="87"/>
      <c r="F521" s="80">
        <f t="shared" si="16"/>
        <v>0</v>
      </c>
      <c r="G521" s="80">
        <f t="shared" si="17"/>
        <v>0</v>
      </c>
      <c r="H521" s="81"/>
      <c r="I521" s="81"/>
      <c r="J521" s="82"/>
    </row>
    <row r="522" spans="1:10" hidden="1" outlineLevel="3" x14ac:dyDescent="0.35">
      <c r="A522" s="78">
        <v>5</v>
      </c>
      <c r="B522" s="78" t="s">
        <v>385</v>
      </c>
      <c r="C522" s="78" t="s">
        <v>847</v>
      </c>
      <c r="D522" s="79"/>
      <c r="E522" s="87"/>
      <c r="F522" s="80">
        <f t="shared" si="16"/>
        <v>0</v>
      </c>
      <c r="G522" s="80">
        <f t="shared" si="17"/>
        <v>0</v>
      </c>
      <c r="H522" s="81"/>
      <c r="I522" s="81"/>
      <c r="J522" s="82"/>
    </row>
    <row r="523" spans="1:10" hidden="1" outlineLevel="2" collapsed="1" x14ac:dyDescent="0.35">
      <c r="A523" s="74">
        <v>4</v>
      </c>
      <c r="B523" s="74" t="s">
        <v>392</v>
      </c>
      <c r="C523" s="74" t="s">
        <v>848</v>
      </c>
      <c r="D523" s="75" t="s">
        <v>404</v>
      </c>
      <c r="E523" s="86" t="str">
        <f>IFERROR(SUBTOTAL(1,E524:E531),"")</f>
        <v/>
      </c>
      <c r="F523" s="74">
        <f t="shared" si="16"/>
        <v>0</v>
      </c>
      <c r="G523" s="74">
        <f t="shared" si="17"/>
        <v>0</v>
      </c>
      <c r="H523" s="76">
        <f>MIN(H524:H531)</f>
        <v>0</v>
      </c>
      <c r="I523" s="76">
        <f>MAX(I524:I531)</f>
        <v>0</v>
      </c>
      <c r="J523" s="77"/>
    </row>
    <row r="524" spans="1:10" hidden="1" outlineLevel="3" x14ac:dyDescent="0.35">
      <c r="A524" s="78">
        <v>5</v>
      </c>
      <c r="B524" s="78" t="s">
        <v>385</v>
      </c>
      <c r="C524" s="78" t="s">
        <v>849</v>
      </c>
      <c r="D524" s="79" t="s">
        <v>69</v>
      </c>
      <c r="E524" s="87"/>
      <c r="F524" s="80">
        <f t="shared" si="16"/>
        <v>0</v>
      </c>
      <c r="G524" s="80">
        <f t="shared" si="17"/>
        <v>0</v>
      </c>
      <c r="H524" s="81"/>
      <c r="I524" s="81"/>
      <c r="J524" s="82"/>
    </row>
    <row r="525" spans="1:10" hidden="1" outlineLevel="3" x14ac:dyDescent="0.35">
      <c r="A525" s="78">
        <v>5</v>
      </c>
      <c r="B525" s="78" t="s">
        <v>385</v>
      </c>
      <c r="C525" s="78" t="s">
        <v>850</v>
      </c>
      <c r="D525" s="79"/>
      <c r="E525" s="87"/>
      <c r="F525" s="80">
        <f t="shared" si="16"/>
        <v>0</v>
      </c>
      <c r="G525" s="80">
        <f t="shared" si="17"/>
        <v>0</v>
      </c>
      <c r="H525" s="81"/>
      <c r="I525" s="81"/>
      <c r="J525" s="82"/>
    </row>
    <row r="526" spans="1:10" hidden="1" outlineLevel="3" x14ac:dyDescent="0.35">
      <c r="A526" s="78">
        <v>5</v>
      </c>
      <c r="B526" s="78" t="s">
        <v>385</v>
      </c>
      <c r="C526" s="78" t="s">
        <v>851</v>
      </c>
      <c r="D526" s="79"/>
      <c r="E526" s="87"/>
      <c r="F526" s="80">
        <f t="shared" si="16"/>
        <v>0</v>
      </c>
      <c r="G526" s="80">
        <f t="shared" si="17"/>
        <v>0</v>
      </c>
      <c r="H526" s="81"/>
      <c r="I526" s="81"/>
      <c r="J526" s="82"/>
    </row>
    <row r="527" spans="1:10" hidden="1" outlineLevel="3" x14ac:dyDescent="0.35">
      <c r="A527" s="78">
        <v>5</v>
      </c>
      <c r="B527" s="78" t="s">
        <v>385</v>
      </c>
      <c r="C527" s="78" t="s">
        <v>852</v>
      </c>
      <c r="D527" s="79"/>
      <c r="E527" s="87"/>
      <c r="F527" s="80">
        <f t="shared" si="16"/>
        <v>0</v>
      </c>
      <c r="G527" s="80">
        <f t="shared" si="17"/>
        <v>0</v>
      </c>
      <c r="H527" s="81"/>
      <c r="I527" s="81"/>
      <c r="J527" s="82"/>
    </row>
    <row r="528" spans="1:10" hidden="1" outlineLevel="3" x14ac:dyDescent="0.35">
      <c r="A528" s="78">
        <v>5</v>
      </c>
      <c r="B528" s="78" t="s">
        <v>385</v>
      </c>
      <c r="C528" s="78" t="s">
        <v>853</v>
      </c>
      <c r="D528" s="79"/>
      <c r="E528" s="87"/>
      <c r="F528" s="80">
        <f t="shared" si="16"/>
        <v>0</v>
      </c>
      <c r="G528" s="80">
        <f t="shared" si="17"/>
        <v>0</v>
      </c>
      <c r="H528" s="81"/>
      <c r="I528" s="81"/>
      <c r="J528" s="82"/>
    </row>
    <row r="529" spans="1:10" hidden="1" outlineLevel="3" x14ac:dyDescent="0.35">
      <c r="A529" s="78">
        <v>5</v>
      </c>
      <c r="B529" s="78" t="s">
        <v>385</v>
      </c>
      <c r="C529" s="78" t="s">
        <v>854</v>
      </c>
      <c r="D529" s="79"/>
      <c r="E529" s="87"/>
      <c r="F529" s="80">
        <f t="shared" si="16"/>
        <v>0</v>
      </c>
      <c r="G529" s="80">
        <f t="shared" si="17"/>
        <v>0</v>
      </c>
      <c r="H529" s="81"/>
      <c r="I529" s="81"/>
      <c r="J529" s="82"/>
    </row>
    <row r="530" spans="1:10" hidden="1" outlineLevel="3" x14ac:dyDescent="0.35">
      <c r="A530" s="78">
        <v>5</v>
      </c>
      <c r="B530" s="78" t="s">
        <v>385</v>
      </c>
      <c r="C530" s="78" t="s">
        <v>855</v>
      </c>
      <c r="D530" s="79"/>
      <c r="E530" s="87"/>
      <c r="F530" s="80">
        <f t="shared" si="16"/>
        <v>0</v>
      </c>
      <c r="G530" s="80">
        <f t="shared" si="17"/>
        <v>0</v>
      </c>
      <c r="H530" s="81"/>
      <c r="I530" s="81"/>
      <c r="J530" s="82"/>
    </row>
    <row r="531" spans="1:10" hidden="1" outlineLevel="3" x14ac:dyDescent="0.35">
      <c r="A531" s="78">
        <v>5</v>
      </c>
      <c r="B531" s="78" t="s">
        <v>385</v>
      </c>
      <c r="C531" s="78" t="s">
        <v>856</v>
      </c>
      <c r="D531" s="79"/>
      <c r="E531" s="87"/>
      <c r="F531" s="80">
        <f t="shared" si="16"/>
        <v>0</v>
      </c>
      <c r="G531" s="80">
        <f t="shared" si="17"/>
        <v>0</v>
      </c>
      <c r="H531" s="81"/>
      <c r="I531" s="81"/>
      <c r="J531" s="82"/>
    </row>
    <row r="532" spans="1:10" hidden="1" outlineLevel="2" collapsed="1" x14ac:dyDescent="0.35">
      <c r="A532" s="74">
        <v>4</v>
      </c>
      <c r="B532" s="74" t="s">
        <v>392</v>
      </c>
      <c r="C532" s="74" t="s">
        <v>857</v>
      </c>
      <c r="D532" s="75" t="s">
        <v>414</v>
      </c>
      <c r="E532" s="86" t="str">
        <f>IFERROR(SUBTOTAL(1,E533:E540),"")</f>
        <v/>
      </c>
      <c r="F532" s="74">
        <f t="shared" si="16"/>
        <v>0</v>
      </c>
      <c r="G532" s="74">
        <f t="shared" si="17"/>
        <v>0</v>
      </c>
      <c r="H532" s="76">
        <f>MIN(H533:H540)</f>
        <v>0</v>
      </c>
      <c r="I532" s="76">
        <f>MAX(I533:I540)</f>
        <v>0</v>
      </c>
      <c r="J532" s="77"/>
    </row>
    <row r="533" spans="1:10" hidden="1" outlineLevel="3" x14ac:dyDescent="0.35">
      <c r="A533" s="78">
        <v>5</v>
      </c>
      <c r="B533" s="78" t="s">
        <v>385</v>
      </c>
      <c r="C533" s="78" t="s">
        <v>858</v>
      </c>
      <c r="D533" s="79"/>
      <c r="E533" s="87"/>
      <c r="F533" s="80">
        <f t="shared" si="16"/>
        <v>0</v>
      </c>
      <c r="G533" s="80">
        <f t="shared" si="17"/>
        <v>0</v>
      </c>
      <c r="H533" s="81"/>
      <c r="I533" s="81"/>
      <c r="J533" s="82"/>
    </row>
    <row r="534" spans="1:10" hidden="1" outlineLevel="3" x14ac:dyDescent="0.35">
      <c r="A534" s="78">
        <v>5</v>
      </c>
      <c r="B534" s="78" t="s">
        <v>385</v>
      </c>
      <c r="C534" s="78" t="s">
        <v>859</v>
      </c>
      <c r="D534" s="79"/>
      <c r="E534" s="87"/>
      <c r="F534" s="80">
        <f t="shared" si="16"/>
        <v>0</v>
      </c>
      <c r="G534" s="80">
        <f t="shared" si="17"/>
        <v>0</v>
      </c>
      <c r="H534" s="81"/>
      <c r="I534" s="81"/>
      <c r="J534" s="82"/>
    </row>
    <row r="535" spans="1:10" hidden="1" outlineLevel="3" x14ac:dyDescent="0.35">
      <c r="A535" s="78">
        <v>5</v>
      </c>
      <c r="B535" s="78" t="s">
        <v>385</v>
      </c>
      <c r="C535" s="78" t="s">
        <v>860</v>
      </c>
      <c r="D535" s="79"/>
      <c r="E535" s="87"/>
      <c r="F535" s="80">
        <f t="shared" si="16"/>
        <v>0</v>
      </c>
      <c r="G535" s="80">
        <f t="shared" si="17"/>
        <v>0</v>
      </c>
      <c r="H535" s="81"/>
      <c r="I535" s="81"/>
      <c r="J535" s="82"/>
    </row>
    <row r="536" spans="1:10" hidden="1" outlineLevel="3" x14ac:dyDescent="0.35">
      <c r="A536" s="78">
        <v>5</v>
      </c>
      <c r="B536" s="78" t="s">
        <v>385</v>
      </c>
      <c r="C536" s="78" t="s">
        <v>861</v>
      </c>
      <c r="D536" s="79"/>
      <c r="E536" s="87"/>
      <c r="F536" s="80">
        <f t="shared" si="16"/>
        <v>0</v>
      </c>
      <c r="G536" s="80">
        <f t="shared" si="17"/>
        <v>0</v>
      </c>
      <c r="H536" s="81"/>
      <c r="I536" s="81"/>
      <c r="J536" s="82"/>
    </row>
    <row r="537" spans="1:10" hidden="1" outlineLevel="3" x14ac:dyDescent="0.35">
      <c r="A537" s="78">
        <v>5</v>
      </c>
      <c r="B537" s="78" t="s">
        <v>385</v>
      </c>
      <c r="C537" s="78" t="s">
        <v>862</v>
      </c>
      <c r="D537" s="79"/>
      <c r="E537" s="87"/>
      <c r="F537" s="80">
        <f t="shared" si="16"/>
        <v>0</v>
      </c>
      <c r="G537" s="80">
        <f t="shared" si="17"/>
        <v>0</v>
      </c>
      <c r="H537" s="81"/>
      <c r="I537" s="81"/>
      <c r="J537" s="82"/>
    </row>
    <row r="538" spans="1:10" hidden="1" outlineLevel="3" x14ac:dyDescent="0.35">
      <c r="A538" s="78">
        <v>5</v>
      </c>
      <c r="B538" s="78" t="s">
        <v>385</v>
      </c>
      <c r="C538" s="78" t="s">
        <v>863</v>
      </c>
      <c r="D538" s="79"/>
      <c r="E538" s="87"/>
      <c r="F538" s="80">
        <f t="shared" si="16"/>
        <v>0</v>
      </c>
      <c r="G538" s="80">
        <f t="shared" si="17"/>
        <v>0</v>
      </c>
      <c r="H538" s="81"/>
      <c r="I538" s="81"/>
      <c r="J538" s="82"/>
    </row>
    <row r="539" spans="1:10" hidden="1" outlineLevel="3" x14ac:dyDescent="0.35">
      <c r="A539" s="78">
        <v>5</v>
      </c>
      <c r="B539" s="78" t="s">
        <v>385</v>
      </c>
      <c r="C539" s="78" t="s">
        <v>864</v>
      </c>
      <c r="D539" s="79"/>
      <c r="E539" s="87"/>
      <c r="F539" s="80">
        <f t="shared" si="16"/>
        <v>0</v>
      </c>
      <c r="G539" s="80">
        <f t="shared" si="17"/>
        <v>0</v>
      </c>
      <c r="H539" s="81"/>
      <c r="I539" s="81"/>
      <c r="J539" s="82"/>
    </row>
    <row r="540" spans="1:10" hidden="1" outlineLevel="3" x14ac:dyDescent="0.35">
      <c r="A540" s="78">
        <v>5</v>
      </c>
      <c r="B540" s="78" t="s">
        <v>385</v>
      </c>
      <c r="C540" s="78" t="s">
        <v>865</v>
      </c>
      <c r="D540" s="79"/>
      <c r="E540" s="87"/>
      <c r="F540" s="80">
        <f t="shared" si="16"/>
        <v>0</v>
      </c>
      <c r="G540" s="80">
        <f t="shared" si="17"/>
        <v>0</v>
      </c>
      <c r="H540" s="81"/>
      <c r="I540" s="81"/>
      <c r="J540" s="82"/>
    </row>
    <row r="541" spans="1:10" hidden="1" outlineLevel="2" collapsed="1" x14ac:dyDescent="0.35">
      <c r="A541" s="74">
        <v>4</v>
      </c>
      <c r="B541" s="74" t="s">
        <v>392</v>
      </c>
      <c r="C541" s="74" t="s">
        <v>866</v>
      </c>
      <c r="D541" s="75" t="s">
        <v>424</v>
      </c>
      <c r="E541" s="86" t="str">
        <f>IFERROR(SUBTOTAL(1,E542:E549),"")</f>
        <v/>
      </c>
      <c r="F541" s="74">
        <f t="shared" si="16"/>
        <v>0</v>
      </c>
      <c r="G541" s="74">
        <f t="shared" si="17"/>
        <v>0</v>
      </c>
      <c r="H541" s="76">
        <f>MIN(H542:H549)</f>
        <v>0</v>
      </c>
      <c r="I541" s="76">
        <f>MAX(I542:I549)</f>
        <v>0</v>
      </c>
      <c r="J541" s="77"/>
    </row>
    <row r="542" spans="1:10" hidden="1" outlineLevel="3" x14ac:dyDescent="0.35">
      <c r="A542" s="78">
        <v>5</v>
      </c>
      <c r="B542" s="78" t="s">
        <v>385</v>
      </c>
      <c r="C542" s="78" t="s">
        <v>867</v>
      </c>
      <c r="D542" s="79"/>
      <c r="E542" s="87"/>
      <c r="F542" s="80">
        <f t="shared" si="16"/>
        <v>0</v>
      </c>
      <c r="G542" s="80">
        <f t="shared" si="17"/>
        <v>0</v>
      </c>
      <c r="H542" s="81"/>
      <c r="I542" s="81"/>
      <c r="J542" s="82"/>
    </row>
    <row r="543" spans="1:10" hidden="1" outlineLevel="3" x14ac:dyDescent="0.35">
      <c r="A543" s="78">
        <v>5</v>
      </c>
      <c r="B543" s="78" t="s">
        <v>385</v>
      </c>
      <c r="C543" s="78" t="s">
        <v>868</v>
      </c>
      <c r="D543" s="79"/>
      <c r="E543" s="87"/>
      <c r="F543" s="80">
        <f t="shared" si="16"/>
        <v>0</v>
      </c>
      <c r="G543" s="80">
        <f t="shared" si="17"/>
        <v>0</v>
      </c>
      <c r="H543" s="81"/>
      <c r="I543" s="81"/>
      <c r="J543" s="82"/>
    </row>
    <row r="544" spans="1:10" hidden="1" outlineLevel="3" x14ac:dyDescent="0.35">
      <c r="A544" s="78">
        <v>5</v>
      </c>
      <c r="B544" s="78" t="s">
        <v>385</v>
      </c>
      <c r="C544" s="78" t="s">
        <v>869</v>
      </c>
      <c r="D544" s="79"/>
      <c r="E544" s="87"/>
      <c r="F544" s="80">
        <f t="shared" si="16"/>
        <v>0</v>
      </c>
      <c r="G544" s="80">
        <f t="shared" si="17"/>
        <v>0</v>
      </c>
      <c r="H544" s="81"/>
      <c r="I544" s="81"/>
      <c r="J544" s="82"/>
    </row>
    <row r="545" spans="1:10" hidden="1" outlineLevel="3" x14ac:dyDescent="0.35">
      <c r="A545" s="78">
        <v>5</v>
      </c>
      <c r="B545" s="78" t="s">
        <v>385</v>
      </c>
      <c r="C545" s="78" t="s">
        <v>870</v>
      </c>
      <c r="D545" s="79"/>
      <c r="E545" s="87"/>
      <c r="F545" s="80">
        <f t="shared" si="16"/>
        <v>0</v>
      </c>
      <c r="G545" s="80">
        <f t="shared" si="17"/>
        <v>0</v>
      </c>
      <c r="H545" s="81"/>
      <c r="I545" s="81"/>
      <c r="J545" s="82"/>
    </row>
    <row r="546" spans="1:10" hidden="1" outlineLevel="3" x14ac:dyDescent="0.35">
      <c r="A546" s="78">
        <v>5</v>
      </c>
      <c r="B546" s="78" t="s">
        <v>385</v>
      </c>
      <c r="C546" s="78" t="s">
        <v>871</v>
      </c>
      <c r="D546" s="79"/>
      <c r="E546" s="87"/>
      <c r="F546" s="80">
        <f t="shared" si="16"/>
        <v>0</v>
      </c>
      <c r="G546" s="80">
        <f t="shared" si="17"/>
        <v>0</v>
      </c>
      <c r="H546" s="81"/>
      <c r="I546" s="81"/>
      <c r="J546" s="82"/>
    </row>
    <row r="547" spans="1:10" hidden="1" outlineLevel="3" x14ac:dyDescent="0.35">
      <c r="A547" s="78">
        <v>5</v>
      </c>
      <c r="B547" s="78" t="s">
        <v>385</v>
      </c>
      <c r="C547" s="78" t="s">
        <v>872</v>
      </c>
      <c r="D547" s="79"/>
      <c r="E547" s="87"/>
      <c r="F547" s="80">
        <f t="shared" si="16"/>
        <v>0</v>
      </c>
      <c r="G547" s="80">
        <f t="shared" si="17"/>
        <v>0</v>
      </c>
      <c r="H547" s="81"/>
      <c r="I547" s="81"/>
      <c r="J547" s="82"/>
    </row>
    <row r="548" spans="1:10" hidden="1" outlineLevel="3" x14ac:dyDescent="0.35">
      <c r="A548" s="78">
        <v>5</v>
      </c>
      <c r="B548" s="78" t="s">
        <v>385</v>
      </c>
      <c r="C548" s="78" t="s">
        <v>873</v>
      </c>
      <c r="D548" s="79"/>
      <c r="E548" s="87"/>
      <c r="F548" s="80">
        <f t="shared" si="16"/>
        <v>0</v>
      </c>
      <c r="G548" s="80">
        <f t="shared" si="17"/>
        <v>0</v>
      </c>
      <c r="H548" s="81"/>
      <c r="I548" s="81"/>
      <c r="J548" s="82"/>
    </row>
    <row r="549" spans="1:10" hidden="1" outlineLevel="3" x14ac:dyDescent="0.35">
      <c r="A549" s="78">
        <v>5</v>
      </c>
      <c r="B549" s="78" t="s">
        <v>385</v>
      </c>
      <c r="C549" s="78" t="s">
        <v>874</v>
      </c>
      <c r="D549" s="79"/>
      <c r="E549" s="87"/>
      <c r="F549" s="80">
        <f t="shared" si="16"/>
        <v>0</v>
      </c>
      <c r="G549" s="80">
        <f t="shared" si="17"/>
        <v>0</v>
      </c>
      <c r="H549" s="81"/>
      <c r="I549" s="81"/>
      <c r="J549" s="82"/>
    </row>
    <row r="550" spans="1:10" hidden="1" outlineLevel="2" collapsed="1" x14ac:dyDescent="0.35">
      <c r="A550" s="74">
        <v>4</v>
      </c>
      <c r="B550" s="74" t="s">
        <v>392</v>
      </c>
      <c r="C550" s="74" t="s">
        <v>875</v>
      </c>
      <c r="D550" s="75" t="s">
        <v>434</v>
      </c>
      <c r="E550" s="86" t="str">
        <f>IFERROR(SUBTOTAL(1,E551:E558),"")</f>
        <v/>
      </c>
      <c r="F550" s="74">
        <f t="shared" si="16"/>
        <v>0</v>
      </c>
      <c r="G550" s="74">
        <f t="shared" si="17"/>
        <v>0</v>
      </c>
      <c r="H550" s="76">
        <f>MIN(H551:H558)</f>
        <v>0</v>
      </c>
      <c r="I550" s="76">
        <f>MAX(I551:I558)</f>
        <v>0</v>
      </c>
      <c r="J550" s="77"/>
    </row>
    <row r="551" spans="1:10" hidden="1" outlineLevel="3" x14ac:dyDescent="0.35">
      <c r="A551" s="78">
        <v>5</v>
      </c>
      <c r="B551" s="78" t="s">
        <v>385</v>
      </c>
      <c r="C551" s="78" t="s">
        <v>876</v>
      </c>
      <c r="D551" s="79"/>
      <c r="E551" s="87"/>
      <c r="F551" s="80">
        <f t="shared" si="16"/>
        <v>0</v>
      </c>
      <c r="G551" s="80">
        <f t="shared" si="17"/>
        <v>0</v>
      </c>
      <c r="H551" s="81"/>
      <c r="I551" s="81"/>
      <c r="J551" s="82"/>
    </row>
    <row r="552" spans="1:10" hidden="1" outlineLevel="3" x14ac:dyDescent="0.35">
      <c r="A552" s="78">
        <v>5</v>
      </c>
      <c r="B552" s="78" t="s">
        <v>385</v>
      </c>
      <c r="C552" s="78" t="s">
        <v>877</v>
      </c>
      <c r="D552" s="79"/>
      <c r="E552" s="87"/>
      <c r="F552" s="80">
        <f t="shared" si="16"/>
        <v>0</v>
      </c>
      <c r="G552" s="80">
        <f t="shared" si="17"/>
        <v>0</v>
      </c>
      <c r="H552" s="81"/>
      <c r="I552" s="81"/>
      <c r="J552" s="82"/>
    </row>
    <row r="553" spans="1:10" hidden="1" outlineLevel="3" x14ac:dyDescent="0.35">
      <c r="A553" s="78">
        <v>5</v>
      </c>
      <c r="B553" s="78" t="s">
        <v>385</v>
      </c>
      <c r="C553" s="78" t="s">
        <v>878</v>
      </c>
      <c r="D553" s="79"/>
      <c r="E553" s="87"/>
      <c r="F553" s="80">
        <f t="shared" si="16"/>
        <v>0</v>
      </c>
      <c r="G553" s="80">
        <f t="shared" si="17"/>
        <v>0</v>
      </c>
      <c r="H553" s="81"/>
      <c r="I553" s="81"/>
      <c r="J553" s="82"/>
    </row>
    <row r="554" spans="1:10" hidden="1" outlineLevel="3" x14ac:dyDescent="0.35">
      <c r="A554" s="78">
        <v>5</v>
      </c>
      <c r="B554" s="78" t="s">
        <v>385</v>
      </c>
      <c r="C554" s="78" t="s">
        <v>879</v>
      </c>
      <c r="D554" s="79"/>
      <c r="E554" s="87"/>
      <c r="F554" s="80">
        <f t="shared" si="16"/>
        <v>0</v>
      </c>
      <c r="G554" s="80">
        <f t="shared" si="17"/>
        <v>0</v>
      </c>
      <c r="H554" s="81"/>
      <c r="I554" s="81"/>
      <c r="J554" s="82"/>
    </row>
    <row r="555" spans="1:10" hidden="1" outlineLevel="3" x14ac:dyDescent="0.35">
      <c r="A555" s="78">
        <v>5</v>
      </c>
      <c r="B555" s="78" t="s">
        <v>385</v>
      </c>
      <c r="C555" s="78" t="s">
        <v>880</v>
      </c>
      <c r="D555" s="79"/>
      <c r="E555" s="87"/>
      <c r="F555" s="80">
        <f t="shared" si="16"/>
        <v>0</v>
      </c>
      <c r="G555" s="80">
        <f t="shared" si="17"/>
        <v>0</v>
      </c>
      <c r="H555" s="81"/>
      <c r="I555" s="81"/>
      <c r="J555" s="82"/>
    </row>
    <row r="556" spans="1:10" hidden="1" outlineLevel="3" x14ac:dyDescent="0.35">
      <c r="A556" s="78">
        <v>5</v>
      </c>
      <c r="B556" s="78" t="s">
        <v>385</v>
      </c>
      <c r="C556" s="78" t="s">
        <v>881</v>
      </c>
      <c r="D556" s="79"/>
      <c r="E556" s="87"/>
      <c r="F556" s="80">
        <f t="shared" si="16"/>
        <v>0</v>
      </c>
      <c r="G556" s="80">
        <f t="shared" si="17"/>
        <v>0</v>
      </c>
      <c r="H556" s="81"/>
      <c r="I556" s="81"/>
      <c r="J556" s="82"/>
    </row>
    <row r="557" spans="1:10" hidden="1" outlineLevel="3" x14ac:dyDescent="0.35">
      <c r="A557" s="78">
        <v>5</v>
      </c>
      <c r="B557" s="78" t="s">
        <v>385</v>
      </c>
      <c r="C557" s="78" t="s">
        <v>882</v>
      </c>
      <c r="D557" s="79"/>
      <c r="E557" s="87"/>
      <c r="F557" s="80">
        <f t="shared" si="16"/>
        <v>0</v>
      </c>
      <c r="G557" s="80">
        <f t="shared" si="17"/>
        <v>0</v>
      </c>
      <c r="H557" s="81"/>
      <c r="I557" s="81"/>
      <c r="J557" s="82"/>
    </row>
    <row r="558" spans="1:10" hidden="1" outlineLevel="3" x14ac:dyDescent="0.35">
      <c r="A558" s="78">
        <v>5</v>
      </c>
      <c r="B558" s="78" t="s">
        <v>385</v>
      </c>
      <c r="C558" s="78" t="s">
        <v>883</v>
      </c>
      <c r="D558" s="79"/>
      <c r="E558" s="87"/>
      <c r="F558" s="80">
        <f t="shared" si="16"/>
        <v>0</v>
      </c>
      <c r="G558" s="80">
        <f t="shared" si="17"/>
        <v>0</v>
      </c>
      <c r="H558" s="81"/>
      <c r="I558" s="81"/>
      <c r="J558" s="82"/>
    </row>
    <row r="559" spans="1:10" hidden="1" outlineLevel="2" collapsed="1" x14ac:dyDescent="0.35">
      <c r="A559" s="74">
        <v>4</v>
      </c>
      <c r="B559" s="74" t="s">
        <v>392</v>
      </c>
      <c r="C559" s="74" t="s">
        <v>884</v>
      </c>
      <c r="D559" s="75" t="s">
        <v>444</v>
      </c>
      <c r="E559" s="86" t="str">
        <f>IFERROR(SUBTOTAL(1,E560:E567),"")</f>
        <v/>
      </c>
      <c r="F559" s="74">
        <f t="shared" si="16"/>
        <v>0</v>
      </c>
      <c r="G559" s="74">
        <f t="shared" si="17"/>
        <v>0</v>
      </c>
      <c r="H559" s="76">
        <f>MIN(H560:H567)</f>
        <v>0</v>
      </c>
      <c r="I559" s="76">
        <f>MAX(I560:I567)</f>
        <v>0</v>
      </c>
      <c r="J559" s="77"/>
    </row>
    <row r="560" spans="1:10" hidden="1" outlineLevel="3" x14ac:dyDescent="0.35">
      <c r="A560" s="78">
        <v>5</v>
      </c>
      <c r="B560" s="78" t="s">
        <v>385</v>
      </c>
      <c r="C560" s="78" t="s">
        <v>1557</v>
      </c>
      <c r="D560" s="79"/>
      <c r="E560" s="87"/>
      <c r="F560" s="80">
        <f t="shared" si="16"/>
        <v>0</v>
      </c>
      <c r="G560" s="80">
        <f t="shared" si="17"/>
        <v>0</v>
      </c>
      <c r="H560" s="81"/>
      <c r="I560" s="81"/>
      <c r="J560" s="82"/>
    </row>
    <row r="561" spans="1:10" hidden="1" outlineLevel="3" x14ac:dyDescent="0.35">
      <c r="A561" s="78">
        <v>5</v>
      </c>
      <c r="B561" s="78" t="s">
        <v>385</v>
      </c>
      <c r="C561" s="78" t="s">
        <v>1558</v>
      </c>
      <c r="D561" s="79"/>
      <c r="E561" s="87"/>
      <c r="F561" s="80">
        <f t="shared" si="16"/>
        <v>0</v>
      </c>
      <c r="G561" s="80">
        <f t="shared" si="17"/>
        <v>0</v>
      </c>
      <c r="H561" s="81"/>
      <c r="I561" s="81"/>
      <c r="J561" s="82"/>
    </row>
    <row r="562" spans="1:10" hidden="1" outlineLevel="3" x14ac:dyDescent="0.35">
      <c r="A562" s="78">
        <v>5</v>
      </c>
      <c r="B562" s="78" t="s">
        <v>385</v>
      </c>
      <c r="C562" s="78" t="s">
        <v>1559</v>
      </c>
      <c r="D562" s="79"/>
      <c r="E562" s="87"/>
      <c r="F562" s="80">
        <f t="shared" si="16"/>
        <v>0</v>
      </c>
      <c r="G562" s="80">
        <f t="shared" si="17"/>
        <v>0</v>
      </c>
      <c r="H562" s="81"/>
      <c r="I562" s="81"/>
      <c r="J562" s="82"/>
    </row>
    <row r="563" spans="1:10" hidden="1" outlineLevel="3" x14ac:dyDescent="0.35">
      <c r="A563" s="78">
        <v>5</v>
      </c>
      <c r="B563" s="78" t="s">
        <v>385</v>
      </c>
      <c r="C563" s="78" t="s">
        <v>1560</v>
      </c>
      <c r="D563" s="79"/>
      <c r="E563" s="87"/>
      <c r="F563" s="80">
        <f t="shared" si="16"/>
        <v>0</v>
      </c>
      <c r="G563" s="80">
        <f t="shared" si="17"/>
        <v>0</v>
      </c>
      <c r="H563" s="81"/>
      <c r="I563" s="81"/>
      <c r="J563" s="82"/>
    </row>
    <row r="564" spans="1:10" hidden="1" outlineLevel="3" x14ac:dyDescent="0.35">
      <c r="A564" s="78">
        <v>5</v>
      </c>
      <c r="B564" s="78" t="s">
        <v>385</v>
      </c>
      <c r="C564" s="78" t="s">
        <v>1561</v>
      </c>
      <c r="D564" s="79"/>
      <c r="E564" s="87"/>
      <c r="F564" s="80">
        <f t="shared" si="16"/>
        <v>0</v>
      </c>
      <c r="G564" s="80">
        <f t="shared" si="17"/>
        <v>0</v>
      </c>
      <c r="H564" s="81"/>
      <c r="I564" s="81"/>
      <c r="J564" s="82"/>
    </row>
    <row r="565" spans="1:10" hidden="1" outlineLevel="3" x14ac:dyDescent="0.35">
      <c r="A565" s="78">
        <v>5</v>
      </c>
      <c r="B565" s="78" t="s">
        <v>385</v>
      </c>
      <c r="C565" s="78" t="s">
        <v>1562</v>
      </c>
      <c r="D565" s="79"/>
      <c r="E565" s="87"/>
      <c r="F565" s="80">
        <f t="shared" si="16"/>
        <v>0</v>
      </c>
      <c r="G565" s="80">
        <f t="shared" si="17"/>
        <v>0</v>
      </c>
      <c r="H565" s="81"/>
      <c r="I565" s="81"/>
      <c r="J565" s="82"/>
    </row>
    <row r="566" spans="1:10" hidden="1" outlineLevel="3" x14ac:dyDescent="0.35">
      <c r="A566" s="78">
        <v>5</v>
      </c>
      <c r="B566" s="78" t="s">
        <v>385</v>
      </c>
      <c r="C566" s="78" t="s">
        <v>1563</v>
      </c>
      <c r="D566" s="79"/>
      <c r="E566" s="87"/>
      <c r="F566" s="80">
        <f t="shared" si="16"/>
        <v>0</v>
      </c>
      <c r="G566" s="80">
        <f t="shared" si="17"/>
        <v>0</v>
      </c>
      <c r="H566" s="81"/>
      <c r="I566" s="81"/>
      <c r="J566" s="82"/>
    </row>
    <row r="567" spans="1:10" hidden="1" outlineLevel="3" x14ac:dyDescent="0.35">
      <c r="A567" s="78">
        <v>5</v>
      </c>
      <c r="B567" s="78" t="s">
        <v>385</v>
      </c>
      <c r="C567" s="78" t="s">
        <v>1564</v>
      </c>
      <c r="D567" s="79"/>
      <c r="E567" s="87"/>
      <c r="F567" s="80">
        <f t="shared" si="16"/>
        <v>0</v>
      </c>
      <c r="G567" s="80">
        <f t="shared" si="17"/>
        <v>0</v>
      </c>
      <c r="H567" s="81"/>
      <c r="I567" s="81"/>
      <c r="J567" s="82"/>
    </row>
    <row r="568" spans="1:10" outlineLevel="1" collapsed="1" x14ac:dyDescent="0.35">
      <c r="A568" s="67">
        <v>3</v>
      </c>
      <c r="B568" s="67" t="s">
        <v>298</v>
      </c>
      <c r="C568" s="67" t="s">
        <v>885</v>
      </c>
      <c r="D568" s="73" t="s">
        <v>886</v>
      </c>
      <c r="E568" s="85" t="str">
        <f>IFERROR(AVERAGE(E569,E578,E587,E596,E605,E614),"")</f>
        <v/>
      </c>
      <c r="F568" s="67">
        <f t="shared" si="16"/>
        <v>0</v>
      </c>
      <c r="G568" s="67">
        <f t="shared" si="17"/>
        <v>0</v>
      </c>
      <c r="H568" s="72">
        <f>MIN(H569,H578,H587,H596,H605,H614)</f>
        <v>0</v>
      </c>
      <c r="I568" s="72">
        <f>MAX(I569,I578,I587,I596,I605,I614)</f>
        <v>0</v>
      </c>
      <c r="J568" s="71"/>
    </row>
    <row r="569" spans="1:10" hidden="1" outlineLevel="2" collapsed="1" x14ac:dyDescent="0.35">
      <c r="A569" s="74">
        <v>4</v>
      </c>
      <c r="B569" s="74" t="s">
        <v>392</v>
      </c>
      <c r="C569" s="74" t="s">
        <v>887</v>
      </c>
      <c r="D569" s="75" t="s">
        <v>394</v>
      </c>
      <c r="E569" s="86" t="str">
        <f>IFERROR(SUBTOTAL(1,E570:E577),"")</f>
        <v/>
      </c>
      <c r="F569" s="74">
        <f t="shared" si="16"/>
        <v>0</v>
      </c>
      <c r="G569" s="74">
        <f t="shared" si="17"/>
        <v>0</v>
      </c>
      <c r="H569" s="76">
        <f>MIN(H570:H577)</f>
        <v>0</v>
      </c>
      <c r="I569" s="76">
        <f>MAX(I570:I577)</f>
        <v>0</v>
      </c>
      <c r="J569" s="77"/>
    </row>
    <row r="570" spans="1:10" hidden="1" outlineLevel="3" x14ac:dyDescent="0.35">
      <c r="A570" s="78">
        <v>5</v>
      </c>
      <c r="B570" s="78" t="s">
        <v>385</v>
      </c>
      <c r="C570" s="78" t="s">
        <v>888</v>
      </c>
      <c r="D570" s="79" t="s">
        <v>328</v>
      </c>
      <c r="E570" s="87"/>
      <c r="F570" s="80">
        <f t="shared" si="16"/>
        <v>0</v>
      </c>
      <c r="G570" s="80">
        <f t="shared" si="17"/>
        <v>0</v>
      </c>
      <c r="H570" s="81"/>
      <c r="I570" s="81"/>
      <c r="J570" s="82"/>
    </row>
    <row r="571" spans="1:10" hidden="1" outlineLevel="3" x14ac:dyDescent="0.35">
      <c r="A571" s="78">
        <v>5</v>
      </c>
      <c r="B571" s="78" t="s">
        <v>385</v>
      </c>
      <c r="C571" s="78" t="s">
        <v>889</v>
      </c>
      <c r="D571" s="79" t="s">
        <v>332</v>
      </c>
      <c r="E571" s="87"/>
      <c r="F571" s="80">
        <f t="shared" si="16"/>
        <v>0</v>
      </c>
      <c r="G571" s="80">
        <f t="shared" si="17"/>
        <v>0</v>
      </c>
      <c r="H571" s="81"/>
      <c r="I571" s="81"/>
      <c r="J571" s="82"/>
    </row>
    <row r="572" spans="1:10" hidden="1" outlineLevel="3" x14ac:dyDescent="0.35">
      <c r="A572" s="78">
        <v>5</v>
      </c>
      <c r="B572" s="78" t="s">
        <v>385</v>
      </c>
      <c r="C572" s="78" t="s">
        <v>890</v>
      </c>
      <c r="D572" s="79" t="s">
        <v>334</v>
      </c>
      <c r="E572" s="87"/>
      <c r="F572" s="80">
        <f t="shared" si="16"/>
        <v>0</v>
      </c>
      <c r="G572" s="80">
        <f t="shared" si="17"/>
        <v>0</v>
      </c>
      <c r="H572" s="81"/>
      <c r="I572" s="81"/>
      <c r="J572" s="82"/>
    </row>
    <row r="573" spans="1:10" hidden="1" outlineLevel="3" x14ac:dyDescent="0.35">
      <c r="A573" s="78">
        <v>5</v>
      </c>
      <c r="B573" s="78" t="s">
        <v>385</v>
      </c>
      <c r="C573" s="78" t="s">
        <v>891</v>
      </c>
      <c r="D573" s="79" t="s">
        <v>337</v>
      </c>
      <c r="E573" s="87"/>
      <c r="F573" s="80">
        <f t="shared" si="16"/>
        <v>0</v>
      </c>
      <c r="G573" s="80">
        <f t="shared" si="17"/>
        <v>0</v>
      </c>
      <c r="H573" s="81"/>
      <c r="I573" s="81"/>
      <c r="J573" s="82"/>
    </row>
    <row r="574" spans="1:10" hidden="1" outlineLevel="3" x14ac:dyDescent="0.35">
      <c r="A574" s="78">
        <v>5</v>
      </c>
      <c r="B574" s="78" t="s">
        <v>385</v>
      </c>
      <c r="C574" s="78" t="s">
        <v>892</v>
      </c>
      <c r="D574" s="79" t="s">
        <v>70</v>
      </c>
      <c r="E574" s="87"/>
      <c r="F574" s="80">
        <f t="shared" si="16"/>
        <v>0</v>
      </c>
      <c r="G574" s="80">
        <f t="shared" si="17"/>
        <v>0</v>
      </c>
      <c r="H574" s="81"/>
      <c r="I574" s="81"/>
      <c r="J574" s="82"/>
    </row>
    <row r="575" spans="1:10" hidden="1" outlineLevel="3" x14ac:dyDescent="0.35">
      <c r="A575" s="78">
        <v>5</v>
      </c>
      <c r="B575" s="78" t="s">
        <v>385</v>
      </c>
      <c r="C575" s="78" t="s">
        <v>893</v>
      </c>
      <c r="D575" s="79" t="s">
        <v>76</v>
      </c>
      <c r="E575" s="87"/>
      <c r="F575" s="80">
        <f t="shared" si="16"/>
        <v>0</v>
      </c>
      <c r="G575" s="80">
        <f t="shared" si="17"/>
        <v>0</v>
      </c>
      <c r="H575" s="81"/>
      <c r="I575" s="81"/>
      <c r="J575" s="82"/>
    </row>
    <row r="576" spans="1:10" hidden="1" outlineLevel="3" x14ac:dyDescent="0.35">
      <c r="A576" s="78">
        <v>5</v>
      </c>
      <c r="B576" s="78" t="s">
        <v>385</v>
      </c>
      <c r="C576" s="78" t="s">
        <v>894</v>
      </c>
      <c r="D576" s="79" t="s">
        <v>71</v>
      </c>
      <c r="E576" s="87"/>
      <c r="F576" s="80">
        <f t="shared" si="16"/>
        <v>0</v>
      </c>
      <c r="G576" s="80">
        <f t="shared" si="17"/>
        <v>0</v>
      </c>
      <c r="H576" s="81"/>
      <c r="I576" s="81"/>
      <c r="J576" s="82"/>
    </row>
    <row r="577" spans="1:10" hidden="1" outlineLevel="3" x14ac:dyDescent="0.35">
      <c r="A577" s="78">
        <v>5</v>
      </c>
      <c r="B577" s="78" t="s">
        <v>385</v>
      </c>
      <c r="C577" s="78" t="s">
        <v>895</v>
      </c>
      <c r="D577" s="79"/>
      <c r="E577" s="87"/>
      <c r="F577" s="80">
        <f t="shared" si="16"/>
        <v>0</v>
      </c>
      <c r="G577" s="80">
        <f t="shared" si="17"/>
        <v>0</v>
      </c>
      <c r="H577" s="81"/>
      <c r="I577" s="81"/>
      <c r="J577" s="82"/>
    </row>
    <row r="578" spans="1:10" hidden="1" outlineLevel="2" collapsed="1" x14ac:dyDescent="0.35">
      <c r="A578" s="74">
        <v>4</v>
      </c>
      <c r="B578" s="74" t="s">
        <v>392</v>
      </c>
      <c r="C578" s="74" t="s">
        <v>896</v>
      </c>
      <c r="D578" s="75" t="s">
        <v>404</v>
      </c>
      <c r="E578" s="86" t="str">
        <f>IFERROR(SUBTOTAL(1,E579:E586),"")</f>
        <v/>
      </c>
      <c r="F578" s="74">
        <f t="shared" si="16"/>
        <v>0</v>
      </c>
      <c r="G578" s="74">
        <f t="shared" si="17"/>
        <v>0</v>
      </c>
      <c r="H578" s="76">
        <f>MIN(H579:H586)</f>
        <v>0</v>
      </c>
      <c r="I578" s="76">
        <f>MAX(I579:I586)</f>
        <v>0</v>
      </c>
      <c r="J578" s="77"/>
    </row>
    <row r="579" spans="1:10" hidden="1" outlineLevel="3" x14ac:dyDescent="0.35">
      <c r="A579" s="78">
        <v>5</v>
      </c>
      <c r="B579" s="78" t="s">
        <v>385</v>
      </c>
      <c r="C579" s="78" t="s">
        <v>897</v>
      </c>
      <c r="D579" s="79" t="s">
        <v>330</v>
      </c>
      <c r="E579" s="87"/>
      <c r="F579" s="80">
        <f t="shared" si="16"/>
        <v>0</v>
      </c>
      <c r="G579" s="80">
        <f t="shared" si="17"/>
        <v>0</v>
      </c>
      <c r="H579" s="81"/>
      <c r="I579" s="81"/>
      <c r="J579" s="82"/>
    </row>
    <row r="580" spans="1:10" hidden="1" outlineLevel="3" x14ac:dyDescent="0.35">
      <c r="A580" s="78">
        <v>5</v>
      </c>
      <c r="B580" s="78" t="s">
        <v>385</v>
      </c>
      <c r="C580" s="78" t="s">
        <v>898</v>
      </c>
      <c r="D580" s="79" t="s">
        <v>333</v>
      </c>
      <c r="E580" s="87"/>
      <c r="F580" s="80">
        <f t="shared" si="16"/>
        <v>0</v>
      </c>
      <c r="G580" s="80">
        <f t="shared" si="17"/>
        <v>0</v>
      </c>
      <c r="H580" s="81"/>
      <c r="I580" s="81"/>
      <c r="J580" s="82"/>
    </row>
    <row r="581" spans="1:10" hidden="1" outlineLevel="3" x14ac:dyDescent="0.35">
      <c r="A581" s="78">
        <v>5</v>
      </c>
      <c r="B581" s="78" t="s">
        <v>385</v>
      </c>
      <c r="C581" s="78" t="s">
        <v>899</v>
      </c>
      <c r="D581" s="79" t="s">
        <v>336</v>
      </c>
      <c r="E581" s="87"/>
      <c r="F581" s="80">
        <f t="shared" si="16"/>
        <v>0</v>
      </c>
      <c r="G581" s="80">
        <f t="shared" si="17"/>
        <v>0</v>
      </c>
      <c r="H581" s="81"/>
      <c r="I581" s="81"/>
      <c r="J581" s="82"/>
    </row>
    <row r="582" spans="1:10" hidden="1" outlineLevel="3" x14ac:dyDescent="0.35">
      <c r="A582" s="78">
        <v>5</v>
      </c>
      <c r="B582" s="78" t="s">
        <v>385</v>
      </c>
      <c r="C582" s="78" t="s">
        <v>900</v>
      </c>
      <c r="D582" s="79"/>
      <c r="E582" s="87"/>
      <c r="F582" s="80">
        <f t="shared" ref="F582:F645" si="18">IFERROR(DATEDIF(H582,I582,"D"),0)</f>
        <v>0</v>
      </c>
      <c r="G582" s="80">
        <f t="shared" ref="G582:G645" si="19">IFERROR(NETWORKDAYS.INTL(H582,I582),0)</f>
        <v>0</v>
      </c>
      <c r="H582" s="81"/>
      <c r="I582" s="81"/>
      <c r="J582" s="82"/>
    </row>
    <row r="583" spans="1:10" hidden="1" outlineLevel="3" x14ac:dyDescent="0.35">
      <c r="A583" s="78">
        <v>5</v>
      </c>
      <c r="B583" s="78" t="s">
        <v>385</v>
      </c>
      <c r="C583" s="78" t="s">
        <v>901</v>
      </c>
      <c r="D583" s="79"/>
      <c r="E583" s="87"/>
      <c r="F583" s="80">
        <f t="shared" si="18"/>
        <v>0</v>
      </c>
      <c r="G583" s="80">
        <f t="shared" si="19"/>
        <v>0</v>
      </c>
      <c r="H583" s="81"/>
      <c r="I583" s="81"/>
      <c r="J583" s="82"/>
    </row>
    <row r="584" spans="1:10" hidden="1" outlineLevel="3" x14ac:dyDescent="0.35">
      <c r="A584" s="78">
        <v>5</v>
      </c>
      <c r="B584" s="78" t="s">
        <v>385</v>
      </c>
      <c r="C584" s="78" t="s">
        <v>902</v>
      </c>
      <c r="D584" s="79"/>
      <c r="E584" s="87"/>
      <c r="F584" s="80">
        <f t="shared" si="18"/>
        <v>0</v>
      </c>
      <c r="G584" s="80">
        <f t="shared" si="19"/>
        <v>0</v>
      </c>
      <c r="H584" s="81"/>
      <c r="I584" s="81"/>
      <c r="J584" s="82"/>
    </row>
    <row r="585" spans="1:10" hidden="1" outlineLevel="3" x14ac:dyDescent="0.35">
      <c r="A585" s="78">
        <v>5</v>
      </c>
      <c r="B585" s="78" t="s">
        <v>385</v>
      </c>
      <c r="C585" s="78" t="s">
        <v>903</v>
      </c>
      <c r="D585" s="79"/>
      <c r="E585" s="87"/>
      <c r="F585" s="80">
        <f t="shared" si="18"/>
        <v>0</v>
      </c>
      <c r="G585" s="80">
        <f t="shared" si="19"/>
        <v>0</v>
      </c>
      <c r="H585" s="81"/>
      <c r="I585" s="81"/>
      <c r="J585" s="82"/>
    </row>
    <row r="586" spans="1:10" hidden="1" outlineLevel="3" x14ac:dyDescent="0.35">
      <c r="A586" s="78">
        <v>5</v>
      </c>
      <c r="B586" s="78" t="s">
        <v>385</v>
      </c>
      <c r="C586" s="78" t="s">
        <v>904</v>
      </c>
      <c r="D586" s="79"/>
      <c r="E586" s="87"/>
      <c r="F586" s="80">
        <f t="shared" si="18"/>
        <v>0</v>
      </c>
      <c r="G586" s="80">
        <f t="shared" si="19"/>
        <v>0</v>
      </c>
      <c r="H586" s="81"/>
      <c r="I586" s="81"/>
      <c r="J586" s="82"/>
    </row>
    <row r="587" spans="1:10" hidden="1" outlineLevel="2" collapsed="1" x14ac:dyDescent="0.35">
      <c r="A587" s="74">
        <v>4</v>
      </c>
      <c r="B587" s="74" t="s">
        <v>392</v>
      </c>
      <c r="C587" s="74" t="s">
        <v>905</v>
      </c>
      <c r="D587" s="75" t="s">
        <v>414</v>
      </c>
      <c r="E587" s="86" t="str">
        <f>IFERROR(SUBTOTAL(1,E588:E595),"")</f>
        <v/>
      </c>
      <c r="F587" s="74">
        <f t="shared" si="18"/>
        <v>0</v>
      </c>
      <c r="G587" s="74">
        <f t="shared" si="19"/>
        <v>0</v>
      </c>
      <c r="H587" s="76">
        <f>MIN(H588:H595)</f>
        <v>0</v>
      </c>
      <c r="I587" s="76">
        <f>MAX(I588:I595)</f>
        <v>0</v>
      </c>
      <c r="J587" s="77"/>
    </row>
    <row r="588" spans="1:10" hidden="1" outlineLevel="3" x14ac:dyDescent="0.35">
      <c r="A588" s="78">
        <v>5</v>
      </c>
      <c r="B588" s="78" t="s">
        <v>385</v>
      </c>
      <c r="C588" s="78" t="s">
        <v>906</v>
      </c>
      <c r="D588" s="79" t="s">
        <v>329</v>
      </c>
      <c r="E588" s="87"/>
      <c r="F588" s="80">
        <f t="shared" si="18"/>
        <v>0</v>
      </c>
      <c r="G588" s="80">
        <f t="shared" si="19"/>
        <v>0</v>
      </c>
      <c r="H588" s="81"/>
      <c r="I588" s="81"/>
      <c r="J588" s="82"/>
    </row>
    <row r="589" spans="1:10" hidden="1" outlineLevel="3" x14ac:dyDescent="0.35">
      <c r="A589" s="78">
        <v>5</v>
      </c>
      <c r="B589" s="78" t="s">
        <v>385</v>
      </c>
      <c r="C589" s="78" t="s">
        <v>907</v>
      </c>
      <c r="D589" s="79" t="s">
        <v>335</v>
      </c>
      <c r="E589" s="87"/>
      <c r="F589" s="80">
        <f t="shared" si="18"/>
        <v>0</v>
      </c>
      <c r="G589" s="80">
        <f t="shared" si="19"/>
        <v>0</v>
      </c>
      <c r="H589" s="81"/>
      <c r="I589" s="81"/>
      <c r="J589" s="82"/>
    </row>
    <row r="590" spans="1:10" hidden="1" outlineLevel="3" x14ac:dyDescent="0.35">
      <c r="A590" s="78">
        <v>5</v>
      </c>
      <c r="B590" s="78" t="s">
        <v>385</v>
      </c>
      <c r="C590" s="78" t="s">
        <v>908</v>
      </c>
      <c r="D590" s="79"/>
      <c r="E590" s="87"/>
      <c r="F590" s="80">
        <f t="shared" si="18"/>
        <v>0</v>
      </c>
      <c r="G590" s="80">
        <f t="shared" si="19"/>
        <v>0</v>
      </c>
      <c r="H590" s="81"/>
      <c r="I590" s="81"/>
      <c r="J590" s="82"/>
    </row>
    <row r="591" spans="1:10" hidden="1" outlineLevel="3" x14ac:dyDescent="0.35">
      <c r="A591" s="78">
        <v>5</v>
      </c>
      <c r="B591" s="78" t="s">
        <v>385</v>
      </c>
      <c r="C591" s="78" t="s">
        <v>909</v>
      </c>
      <c r="D591" s="79"/>
      <c r="E591" s="87"/>
      <c r="F591" s="80">
        <f t="shared" si="18"/>
        <v>0</v>
      </c>
      <c r="G591" s="80">
        <f t="shared" si="19"/>
        <v>0</v>
      </c>
      <c r="H591" s="81"/>
      <c r="I591" s="81"/>
      <c r="J591" s="82"/>
    </row>
    <row r="592" spans="1:10" hidden="1" outlineLevel="3" x14ac:dyDescent="0.35">
      <c r="A592" s="78">
        <v>5</v>
      </c>
      <c r="B592" s="78" t="s">
        <v>385</v>
      </c>
      <c r="C592" s="78" t="s">
        <v>910</v>
      </c>
      <c r="D592" s="79"/>
      <c r="E592" s="87"/>
      <c r="F592" s="80">
        <f t="shared" si="18"/>
        <v>0</v>
      </c>
      <c r="G592" s="80">
        <f t="shared" si="19"/>
        <v>0</v>
      </c>
      <c r="H592" s="81"/>
      <c r="I592" s="81"/>
      <c r="J592" s="82"/>
    </row>
    <row r="593" spans="1:10" hidden="1" outlineLevel="3" x14ac:dyDescent="0.35">
      <c r="A593" s="78">
        <v>5</v>
      </c>
      <c r="B593" s="78" t="s">
        <v>385</v>
      </c>
      <c r="C593" s="78" t="s">
        <v>911</v>
      </c>
      <c r="D593" s="79"/>
      <c r="E593" s="87"/>
      <c r="F593" s="80">
        <f t="shared" si="18"/>
        <v>0</v>
      </c>
      <c r="G593" s="80">
        <f t="shared" si="19"/>
        <v>0</v>
      </c>
      <c r="H593" s="81"/>
      <c r="I593" s="81"/>
      <c r="J593" s="82"/>
    </row>
    <row r="594" spans="1:10" hidden="1" outlineLevel="3" x14ac:dyDescent="0.35">
      <c r="A594" s="78">
        <v>5</v>
      </c>
      <c r="B594" s="78" t="s">
        <v>385</v>
      </c>
      <c r="C594" s="78" t="s">
        <v>912</v>
      </c>
      <c r="D594" s="79"/>
      <c r="E594" s="87"/>
      <c r="F594" s="80">
        <f t="shared" si="18"/>
        <v>0</v>
      </c>
      <c r="G594" s="80">
        <f t="shared" si="19"/>
        <v>0</v>
      </c>
      <c r="H594" s="81"/>
      <c r="I594" s="81"/>
      <c r="J594" s="82"/>
    </row>
    <row r="595" spans="1:10" hidden="1" outlineLevel="3" x14ac:dyDescent="0.35">
      <c r="A595" s="78">
        <v>5</v>
      </c>
      <c r="B595" s="78" t="s">
        <v>385</v>
      </c>
      <c r="C595" s="78" t="s">
        <v>913</v>
      </c>
      <c r="D595" s="79"/>
      <c r="E595" s="87"/>
      <c r="F595" s="80">
        <f t="shared" si="18"/>
        <v>0</v>
      </c>
      <c r="G595" s="80">
        <f t="shared" si="19"/>
        <v>0</v>
      </c>
      <c r="H595" s="81"/>
      <c r="I595" s="81"/>
      <c r="J595" s="82"/>
    </row>
    <row r="596" spans="1:10" hidden="1" outlineLevel="2" collapsed="1" x14ac:dyDescent="0.35">
      <c r="A596" s="74">
        <v>4</v>
      </c>
      <c r="B596" s="74" t="s">
        <v>392</v>
      </c>
      <c r="C596" s="74" t="s">
        <v>914</v>
      </c>
      <c r="D596" s="75" t="s">
        <v>424</v>
      </c>
      <c r="E596" s="86" t="str">
        <f>IFERROR(SUBTOTAL(1,E597:E604),"")</f>
        <v/>
      </c>
      <c r="F596" s="74">
        <f t="shared" si="18"/>
        <v>0</v>
      </c>
      <c r="G596" s="74">
        <f t="shared" si="19"/>
        <v>0</v>
      </c>
      <c r="H596" s="76">
        <f>MIN(H597:H604)</f>
        <v>0</v>
      </c>
      <c r="I596" s="76">
        <f>MAX(I597:I604)</f>
        <v>0</v>
      </c>
      <c r="J596" s="77"/>
    </row>
    <row r="597" spans="1:10" hidden="1" outlineLevel="3" x14ac:dyDescent="0.35">
      <c r="A597" s="78">
        <v>5</v>
      </c>
      <c r="B597" s="78" t="s">
        <v>385</v>
      </c>
      <c r="C597" s="78" t="s">
        <v>915</v>
      </c>
      <c r="D597" s="79"/>
      <c r="E597" s="87"/>
      <c r="F597" s="80">
        <f t="shared" si="18"/>
        <v>0</v>
      </c>
      <c r="G597" s="80">
        <f t="shared" si="19"/>
        <v>0</v>
      </c>
      <c r="H597" s="81"/>
      <c r="I597" s="81"/>
      <c r="J597" s="82"/>
    </row>
    <row r="598" spans="1:10" hidden="1" outlineLevel="3" x14ac:dyDescent="0.35">
      <c r="A598" s="78">
        <v>5</v>
      </c>
      <c r="B598" s="78" t="s">
        <v>385</v>
      </c>
      <c r="C598" s="78" t="s">
        <v>916</v>
      </c>
      <c r="D598" s="79"/>
      <c r="E598" s="87"/>
      <c r="F598" s="80">
        <f t="shared" si="18"/>
        <v>0</v>
      </c>
      <c r="G598" s="80">
        <f t="shared" si="19"/>
        <v>0</v>
      </c>
      <c r="H598" s="81"/>
      <c r="I598" s="81"/>
      <c r="J598" s="82"/>
    </row>
    <row r="599" spans="1:10" hidden="1" outlineLevel="3" x14ac:dyDescent="0.35">
      <c r="A599" s="78">
        <v>5</v>
      </c>
      <c r="B599" s="78" t="s">
        <v>385</v>
      </c>
      <c r="C599" s="78" t="s">
        <v>917</v>
      </c>
      <c r="D599" s="79"/>
      <c r="E599" s="87"/>
      <c r="F599" s="80">
        <f t="shared" si="18"/>
        <v>0</v>
      </c>
      <c r="G599" s="80">
        <f t="shared" si="19"/>
        <v>0</v>
      </c>
      <c r="H599" s="81"/>
      <c r="I599" s="81"/>
      <c r="J599" s="82"/>
    </row>
    <row r="600" spans="1:10" hidden="1" outlineLevel="3" x14ac:dyDescent="0.35">
      <c r="A600" s="78">
        <v>5</v>
      </c>
      <c r="B600" s="78" t="s">
        <v>385</v>
      </c>
      <c r="C600" s="78" t="s">
        <v>918</v>
      </c>
      <c r="D600" s="79"/>
      <c r="E600" s="87"/>
      <c r="F600" s="80">
        <f t="shared" si="18"/>
        <v>0</v>
      </c>
      <c r="G600" s="80">
        <f t="shared" si="19"/>
        <v>0</v>
      </c>
      <c r="H600" s="81"/>
      <c r="I600" s="81"/>
      <c r="J600" s="82"/>
    </row>
    <row r="601" spans="1:10" hidden="1" outlineLevel="3" x14ac:dyDescent="0.35">
      <c r="A601" s="78">
        <v>5</v>
      </c>
      <c r="B601" s="78" t="s">
        <v>385</v>
      </c>
      <c r="C601" s="78" t="s">
        <v>919</v>
      </c>
      <c r="D601" s="79"/>
      <c r="E601" s="87"/>
      <c r="F601" s="80">
        <f t="shared" si="18"/>
        <v>0</v>
      </c>
      <c r="G601" s="80">
        <f t="shared" si="19"/>
        <v>0</v>
      </c>
      <c r="H601" s="81"/>
      <c r="I601" s="81"/>
      <c r="J601" s="82"/>
    </row>
    <row r="602" spans="1:10" hidden="1" outlineLevel="3" x14ac:dyDescent="0.35">
      <c r="A602" s="78">
        <v>5</v>
      </c>
      <c r="B602" s="78" t="s">
        <v>385</v>
      </c>
      <c r="C602" s="78" t="s">
        <v>920</v>
      </c>
      <c r="D602" s="79"/>
      <c r="E602" s="87"/>
      <c r="F602" s="80">
        <f t="shared" si="18"/>
        <v>0</v>
      </c>
      <c r="G602" s="80">
        <f t="shared" si="19"/>
        <v>0</v>
      </c>
      <c r="H602" s="81"/>
      <c r="I602" s="81"/>
      <c r="J602" s="82"/>
    </row>
    <row r="603" spans="1:10" hidden="1" outlineLevel="3" x14ac:dyDescent="0.35">
      <c r="A603" s="78">
        <v>5</v>
      </c>
      <c r="B603" s="78" t="s">
        <v>385</v>
      </c>
      <c r="C603" s="78" t="s">
        <v>921</v>
      </c>
      <c r="D603" s="79"/>
      <c r="E603" s="87"/>
      <c r="F603" s="80">
        <f t="shared" si="18"/>
        <v>0</v>
      </c>
      <c r="G603" s="80">
        <f t="shared" si="19"/>
        <v>0</v>
      </c>
      <c r="H603" s="81"/>
      <c r="I603" s="81"/>
      <c r="J603" s="82"/>
    </row>
    <row r="604" spans="1:10" hidden="1" outlineLevel="3" x14ac:dyDescent="0.35">
      <c r="A604" s="78">
        <v>5</v>
      </c>
      <c r="B604" s="78" t="s">
        <v>385</v>
      </c>
      <c r="C604" s="78" t="s">
        <v>922</v>
      </c>
      <c r="D604" s="79"/>
      <c r="E604" s="87"/>
      <c r="F604" s="80">
        <f t="shared" si="18"/>
        <v>0</v>
      </c>
      <c r="G604" s="80">
        <f t="shared" si="19"/>
        <v>0</v>
      </c>
      <c r="H604" s="81"/>
      <c r="I604" s="81"/>
      <c r="J604" s="82"/>
    </row>
    <row r="605" spans="1:10" hidden="1" outlineLevel="2" collapsed="1" x14ac:dyDescent="0.35">
      <c r="A605" s="74">
        <v>4</v>
      </c>
      <c r="B605" s="74" t="s">
        <v>392</v>
      </c>
      <c r="C605" s="74" t="s">
        <v>923</v>
      </c>
      <c r="D605" s="75" t="s">
        <v>434</v>
      </c>
      <c r="E605" s="86" t="str">
        <f>IFERROR(SUBTOTAL(1,E606:E613),"")</f>
        <v/>
      </c>
      <c r="F605" s="74">
        <f t="shared" si="18"/>
        <v>0</v>
      </c>
      <c r="G605" s="74">
        <f t="shared" si="19"/>
        <v>0</v>
      </c>
      <c r="H605" s="76">
        <f>MIN(H606:H613)</f>
        <v>0</v>
      </c>
      <c r="I605" s="76">
        <f>MAX(I606:I613)</f>
        <v>0</v>
      </c>
      <c r="J605" s="77"/>
    </row>
    <row r="606" spans="1:10" hidden="1" outlineLevel="3" x14ac:dyDescent="0.35">
      <c r="A606" s="78">
        <v>5</v>
      </c>
      <c r="B606" s="78" t="s">
        <v>385</v>
      </c>
      <c r="C606" s="78" t="s">
        <v>924</v>
      </c>
      <c r="D606" s="79" t="s">
        <v>331</v>
      </c>
      <c r="E606" s="87"/>
      <c r="F606" s="80">
        <f t="shared" si="18"/>
        <v>0</v>
      </c>
      <c r="G606" s="80">
        <f t="shared" si="19"/>
        <v>0</v>
      </c>
      <c r="H606" s="81"/>
      <c r="I606" s="81"/>
      <c r="J606" s="82"/>
    </row>
    <row r="607" spans="1:10" hidden="1" outlineLevel="3" x14ac:dyDescent="0.35">
      <c r="A607" s="78">
        <v>5</v>
      </c>
      <c r="B607" s="78" t="s">
        <v>385</v>
      </c>
      <c r="C607" s="78" t="s">
        <v>925</v>
      </c>
      <c r="D607" s="79"/>
      <c r="E607" s="87"/>
      <c r="F607" s="80">
        <f t="shared" si="18"/>
        <v>0</v>
      </c>
      <c r="G607" s="80">
        <f t="shared" si="19"/>
        <v>0</v>
      </c>
      <c r="H607" s="81"/>
      <c r="I607" s="81"/>
      <c r="J607" s="82"/>
    </row>
    <row r="608" spans="1:10" hidden="1" outlineLevel="3" x14ac:dyDescent="0.35">
      <c r="A608" s="78">
        <v>5</v>
      </c>
      <c r="B608" s="78" t="s">
        <v>385</v>
      </c>
      <c r="C608" s="78" t="s">
        <v>926</v>
      </c>
      <c r="D608" s="79"/>
      <c r="E608" s="87"/>
      <c r="F608" s="80">
        <f t="shared" si="18"/>
        <v>0</v>
      </c>
      <c r="G608" s="80">
        <f t="shared" si="19"/>
        <v>0</v>
      </c>
      <c r="H608" s="81"/>
      <c r="I608" s="81"/>
      <c r="J608" s="82"/>
    </row>
    <row r="609" spans="1:10" hidden="1" outlineLevel="3" x14ac:dyDescent="0.35">
      <c r="A609" s="78">
        <v>5</v>
      </c>
      <c r="B609" s="78" t="s">
        <v>385</v>
      </c>
      <c r="C609" s="78" t="s">
        <v>927</v>
      </c>
      <c r="D609" s="79"/>
      <c r="E609" s="87"/>
      <c r="F609" s="80">
        <f t="shared" si="18"/>
        <v>0</v>
      </c>
      <c r="G609" s="80">
        <f t="shared" si="19"/>
        <v>0</v>
      </c>
      <c r="H609" s="81"/>
      <c r="I609" s="81"/>
      <c r="J609" s="82"/>
    </row>
    <row r="610" spans="1:10" hidden="1" outlineLevel="3" x14ac:dyDescent="0.35">
      <c r="A610" s="78">
        <v>5</v>
      </c>
      <c r="B610" s="78" t="s">
        <v>385</v>
      </c>
      <c r="C610" s="78" t="s">
        <v>928</v>
      </c>
      <c r="D610" s="79"/>
      <c r="E610" s="87"/>
      <c r="F610" s="80">
        <f t="shared" si="18"/>
        <v>0</v>
      </c>
      <c r="G610" s="80">
        <f t="shared" si="19"/>
        <v>0</v>
      </c>
      <c r="H610" s="81"/>
      <c r="I610" s="81"/>
      <c r="J610" s="82"/>
    </row>
    <row r="611" spans="1:10" hidden="1" outlineLevel="3" x14ac:dyDescent="0.35">
      <c r="A611" s="78">
        <v>5</v>
      </c>
      <c r="B611" s="78" t="s">
        <v>385</v>
      </c>
      <c r="C611" s="78" t="s">
        <v>929</v>
      </c>
      <c r="D611" s="79"/>
      <c r="E611" s="87"/>
      <c r="F611" s="80">
        <f t="shared" si="18"/>
        <v>0</v>
      </c>
      <c r="G611" s="80">
        <f t="shared" si="19"/>
        <v>0</v>
      </c>
      <c r="H611" s="81"/>
      <c r="I611" s="81"/>
      <c r="J611" s="82"/>
    </row>
    <row r="612" spans="1:10" hidden="1" outlineLevel="3" x14ac:dyDescent="0.35">
      <c r="A612" s="78">
        <v>5</v>
      </c>
      <c r="B612" s="78" t="s">
        <v>385</v>
      </c>
      <c r="C612" s="78" t="s">
        <v>930</v>
      </c>
      <c r="D612" s="79"/>
      <c r="E612" s="87"/>
      <c r="F612" s="80">
        <f t="shared" si="18"/>
        <v>0</v>
      </c>
      <c r="G612" s="80">
        <f t="shared" si="19"/>
        <v>0</v>
      </c>
      <c r="H612" s="81"/>
      <c r="I612" s="81"/>
      <c r="J612" s="82"/>
    </row>
    <row r="613" spans="1:10" hidden="1" outlineLevel="3" x14ac:dyDescent="0.35">
      <c r="A613" s="78">
        <v>5</v>
      </c>
      <c r="B613" s="78" t="s">
        <v>385</v>
      </c>
      <c r="C613" s="78" t="s">
        <v>931</v>
      </c>
      <c r="D613" s="79"/>
      <c r="E613" s="87"/>
      <c r="F613" s="80">
        <f t="shared" si="18"/>
        <v>0</v>
      </c>
      <c r="G613" s="80">
        <f t="shared" si="19"/>
        <v>0</v>
      </c>
      <c r="H613" s="81"/>
      <c r="I613" s="81"/>
      <c r="J613" s="82"/>
    </row>
    <row r="614" spans="1:10" hidden="1" outlineLevel="2" collapsed="1" x14ac:dyDescent="0.35">
      <c r="A614" s="74">
        <v>4</v>
      </c>
      <c r="B614" s="74" t="s">
        <v>392</v>
      </c>
      <c r="C614" s="74" t="s">
        <v>932</v>
      </c>
      <c r="D614" s="75" t="s">
        <v>444</v>
      </c>
      <c r="E614" s="86" t="str">
        <f>IFERROR(SUBTOTAL(1,E615:E622),"")</f>
        <v/>
      </c>
      <c r="F614" s="74">
        <f t="shared" si="18"/>
        <v>0</v>
      </c>
      <c r="G614" s="74">
        <f t="shared" si="19"/>
        <v>0</v>
      </c>
      <c r="H614" s="76">
        <f>MIN(H615:H622)</f>
        <v>0</v>
      </c>
      <c r="I614" s="76">
        <f>MAX(I615:I622)</f>
        <v>0</v>
      </c>
      <c r="J614" s="77"/>
    </row>
    <row r="615" spans="1:10" hidden="1" outlineLevel="3" x14ac:dyDescent="0.35">
      <c r="A615" s="78">
        <v>5</v>
      </c>
      <c r="B615" s="78" t="s">
        <v>385</v>
      </c>
      <c r="C615" s="78" t="s">
        <v>1414</v>
      </c>
      <c r="D615" s="79"/>
      <c r="E615" s="87"/>
      <c r="F615" s="80">
        <f t="shared" si="18"/>
        <v>0</v>
      </c>
      <c r="G615" s="80">
        <f t="shared" si="19"/>
        <v>0</v>
      </c>
      <c r="H615" s="81"/>
      <c r="I615" s="81"/>
      <c r="J615" s="82"/>
    </row>
    <row r="616" spans="1:10" hidden="1" outlineLevel="3" x14ac:dyDescent="0.35">
      <c r="A616" s="78">
        <v>5</v>
      </c>
      <c r="B616" s="78" t="s">
        <v>385</v>
      </c>
      <c r="C616" s="78" t="s">
        <v>1415</v>
      </c>
      <c r="D616" s="79"/>
      <c r="E616" s="87"/>
      <c r="F616" s="80">
        <f t="shared" si="18"/>
        <v>0</v>
      </c>
      <c r="G616" s="80">
        <f t="shared" si="19"/>
        <v>0</v>
      </c>
      <c r="H616" s="81"/>
      <c r="I616" s="81"/>
      <c r="J616" s="82"/>
    </row>
    <row r="617" spans="1:10" hidden="1" outlineLevel="3" x14ac:dyDescent="0.35">
      <c r="A617" s="78">
        <v>5</v>
      </c>
      <c r="B617" s="78" t="s">
        <v>385</v>
      </c>
      <c r="C617" s="78" t="s">
        <v>1416</v>
      </c>
      <c r="D617" s="79"/>
      <c r="E617" s="87"/>
      <c r="F617" s="80">
        <f t="shared" si="18"/>
        <v>0</v>
      </c>
      <c r="G617" s="80">
        <f t="shared" si="19"/>
        <v>0</v>
      </c>
      <c r="H617" s="81"/>
      <c r="I617" s="81"/>
      <c r="J617" s="82"/>
    </row>
    <row r="618" spans="1:10" hidden="1" outlineLevel="3" x14ac:dyDescent="0.35">
      <c r="A618" s="78">
        <v>5</v>
      </c>
      <c r="B618" s="78" t="s">
        <v>385</v>
      </c>
      <c r="C618" s="78" t="s">
        <v>1417</v>
      </c>
      <c r="D618" s="79"/>
      <c r="E618" s="87"/>
      <c r="F618" s="80">
        <f t="shared" si="18"/>
        <v>0</v>
      </c>
      <c r="G618" s="80">
        <f t="shared" si="19"/>
        <v>0</v>
      </c>
      <c r="H618" s="81"/>
      <c r="I618" s="81"/>
      <c r="J618" s="82"/>
    </row>
    <row r="619" spans="1:10" hidden="1" outlineLevel="3" x14ac:dyDescent="0.35">
      <c r="A619" s="78">
        <v>5</v>
      </c>
      <c r="B619" s="78" t="s">
        <v>385</v>
      </c>
      <c r="C619" s="78" t="s">
        <v>1418</v>
      </c>
      <c r="D619" s="79"/>
      <c r="E619" s="87"/>
      <c r="F619" s="80">
        <f t="shared" si="18"/>
        <v>0</v>
      </c>
      <c r="G619" s="80">
        <f t="shared" si="19"/>
        <v>0</v>
      </c>
      <c r="H619" s="81"/>
      <c r="I619" s="81"/>
      <c r="J619" s="82"/>
    </row>
    <row r="620" spans="1:10" hidden="1" outlineLevel="3" x14ac:dyDescent="0.35">
      <c r="A620" s="78">
        <v>5</v>
      </c>
      <c r="B620" s="78" t="s">
        <v>385</v>
      </c>
      <c r="C620" s="78" t="s">
        <v>1419</v>
      </c>
      <c r="D620" s="79"/>
      <c r="E620" s="87"/>
      <c r="F620" s="80">
        <f t="shared" si="18"/>
        <v>0</v>
      </c>
      <c r="G620" s="80">
        <f t="shared" si="19"/>
        <v>0</v>
      </c>
      <c r="H620" s="81"/>
      <c r="I620" s="81"/>
      <c r="J620" s="82"/>
    </row>
    <row r="621" spans="1:10" hidden="1" outlineLevel="3" x14ac:dyDescent="0.35">
      <c r="A621" s="78">
        <v>5</v>
      </c>
      <c r="B621" s="78" t="s">
        <v>385</v>
      </c>
      <c r="C621" s="78" t="s">
        <v>1420</v>
      </c>
      <c r="D621" s="79"/>
      <c r="E621" s="87"/>
      <c r="F621" s="80">
        <f t="shared" si="18"/>
        <v>0</v>
      </c>
      <c r="G621" s="80">
        <f t="shared" si="19"/>
        <v>0</v>
      </c>
      <c r="H621" s="81"/>
      <c r="I621" s="81"/>
      <c r="J621" s="82"/>
    </row>
    <row r="622" spans="1:10" hidden="1" outlineLevel="3" x14ac:dyDescent="0.35">
      <c r="A622" s="78">
        <v>5</v>
      </c>
      <c r="B622" s="78" t="s">
        <v>385</v>
      </c>
      <c r="C622" s="78" t="s">
        <v>1421</v>
      </c>
      <c r="D622" s="79"/>
      <c r="E622" s="87"/>
      <c r="F622" s="80">
        <f t="shared" si="18"/>
        <v>0</v>
      </c>
      <c r="G622" s="80">
        <f t="shared" si="19"/>
        <v>0</v>
      </c>
      <c r="H622" s="81"/>
      <c r="I622" s="81"/>
      <c r="J622" s="82"/>
    </row>
    <row r="623" spans="1:10" outlineLevel="1" collapsed="1" x14ac:dyDescent="0.35">
      <c r="A623" s="67">
        <v>3</v>
      </c>
      <c r="B623" s="67" t="s">
        <v>298</v>
      </c>
      <c r="C623" s="67" t="s">
        <v>933</v>
      </c>
      <c r="D623" s="73" t="s">
        <v>1413</v>
      </c>
      <c r="E623" s="85" t="str">
        <f>IFERROR(AVERAGE(E624,E633,E642,E651,E660,E669),"")</f>
        <v/>
      </c>
      <c r="F623" s="67">
        <f t="shared" si="18"/>
        <v>0</v>
      </c>
      <c r="G623" s="67">
        <f t="shared" si="19"/>
        <v>0</v>
      </c>
      <c r="H623" s="72">
        <f>MIN(H624,H633,H642,H651,H660,H669)</f>
        <v>0</v>
      </c>
      <c r="I623" s="72">
        <f>MAX(I624,I633,I642,I651,I660,I669)</f>
        <v>0</v>
      </c>
      <c r="J623" s="71"/>
    </row>
    <row r="624" spans="1:10" hidden="1" outlineLevel="2" collapsed="1" x14ac:dyDescent="0.35">
      <c r="A624" s="74">
        <v>4</v>
      </c>
      <c r="B624" s="74" t="s">
        <v>392</v>
      </c>
      <c r="C624" s="74" t="s">
        <v>935</v>
      </c>
      <c r="D624" s="75" t="s">
        <v>394</v>
      </c>
      <c r="E624" s="86" t="str">
        <f>IFERROR(SUBTOTAL(1,E625:E632),"")</f>
        <v/>
      </c>
      <c r="F624" s="74">
        <f t="shared" si="18"/>
        <v>0</v>
      </c>
      <c r="G624" s="74">
        <f t="shared" si="19"/>
        <v>0</v>
      </c>
      <c r="H624" s="76">
        <f>MIN(H625:H632)</f>
        <v>0</v>
      </c>
      <c r="I624" s="76">
        <f>MAX(I625:I632)</f>
        <v>0</v>
      </c>
      <c r="J624" s="77"/>
    </row>
    <row r="625" spans="1:10" hidden="1" outlineLevel="3" x14ac:dyDescent="0.35">
      <c r="A625" s="78">
        <v>5</v>
      </c>
      <c r="B625" s="78" t="s">
        <v>385</v>
      </c>
      <c r="C625" s="78" t="s">
        <v>936</v>
      </c>
      <c r="D625" s="79" t="s">
        <v>338</v>
      </c>
      <c r="E625" s="87"/>
      <c r="F625" s="80">
        <f t="shared" si="18"/>
        <v>0</v>
      </c>
      <c r="G625" s="80">
        <f t="shared" si="19"/>
        <v>0</v>
      </c>
      <c r="H625" s="81"/>
      <c r="I625" s="81"/>
      <c r="J625" s="82"/>
    </row>
    <row r="626" spans="1:10" hidden="1" outlineLevel="3" x14ac:dyDescent="0.35">
      <c r="A626" s="78">
        <v>5</v>
      </c>
      <c r="B626" s="78" t="s">
        <v>385</v>
      </c>
      <c r="C626" s="78" t="s">
        <v>937</v>
      </c>
      <c r="D626" s="79" t="s">
        <v>340</v>
      </c>
      <c r="E626" s="87"/>
      <c r="F626" s="80">
        <f t="shared" si="18"/>
        <v>0</v>
      </c>
      <c r="G626" s="80">
        <f t="shared" si="19"/>
        <v>0</v>
      </c>
      <c r="H626" s="81"/>
      <c r="I626" s="81"/>
      <c r="J626" s="82"/>
    </row>
    <row r="627" spans="1:10" hidden="1" outlineLevel="3" x14ac:dyDescent="0.35">
      <c r="A627" s="78">
        <v>5</v>
      </c>
      <c r="B627" s="78" t="s">
        <v>385</v>
      </c>
      <c r="C627" s="78" t="s">
        <v>938</v>
      </c>
      <c r="D627" s="79" t="s">
        <v>334</v>
      </c>
      <c r="E627" s="87"/>
      <c r="F627" s="80">
        <f t="shared" si="18"/>
        <v>0</v>
      </c>
      <c r="G627" s="80">
        <f t="shared" si="19"/>
        <v>0</v>
      </c>
      <c r="H627" s="81"/>
      <c r="I627" s="81"/>
      <c r="J627" s="82"/>
    </row>
    <row r="628" spans="1:10" hidden="1" outlineLevel="3" x14ac:dyDescent="0.35">
      <c r="A628" s="78">
        <v>5</v>
      </c>
      <c r="B628" s="78" t="s">
        <v>385</v>
      </c>
      <c r="C628" s="78" t="s">
        <v>939</v>
      </c>
      <c r="D628" s="79" t="s">
        <v>341</v>
      </c>
      <c r="E628" s="87"/>
      <c r="F628" s="80">
        <f t="shared" si="18"/>
        <v>0</v>
      </c>
      <c r="G628" s="80">
        <f t="shared" si="19"/>
        <v>0</v>
      </c>
      <c r="H628" s="81"/>
      <c r="I628" s="81"/>
      <c r="J628" s="82"/>
    </row>
    <row r="629" spans="1:10" hidden="1" outlineLevel="3" x14ac:dyDescent="0.35">
      <c r="A629" s="78">
        <v>5</v>
      </c>
      <c r="B629" s="78" t="s">
        <v>385</v>
      </c>
      <c r="C629" s="78" t="s">
        <v>940</v>
      </c>
      <c r="D629" s="79" t="s">
        <v>350</v>
      </c>
      <c r="E629" s="87"/>
      <c r="F629" s="80">
        <f t="shared" si="18"/>
        <v>0</v>
      </c>
      <c r="G629" s="80">
        <f t="shared" si="19"/>
        <v>0</v>
      </c>
      <c r="H629" s="81"/>
      <c r="I629" s="81"/>
      <c r="J629" s="82"/>
    </row>
    <row r="630" spans="1:10" hidden="1" outlineLevel="3" x14ac:dyDescent="0.35">
      <c r="A630" s="78">
        <v>5</v>
      </c>
      <c r="B630" s="78" t="s">
        <v>385</v>
      </c>
      <c r="C630" s="78" t="s">
        <v>941</v>
      </c>
      <c r="D630" s="79"/>
      <c r="E630" s="87"/>
      <c r="F630" s="80">
        <f t="shared" si="18"/>
        <v>0</v>
      </c>
      <c r="G630" s="80">
        <f t="shared" si="19"/>
        <v>0</v>
      </c>
      <c r="H630" s="81"/>
      <c r="I630" s="81"/>
      <c r="J630" s="82"/>
    </row>
    <row r="631" spans="1:10" hidden="1" outlineLevel="3" x14ac:dyDescent="0.35">
      <c r="A631" s="78">
        <v>5</v>
      </c>
      <c r="B631" s="78" t="s">
        <v>385</v>
      </c>
      <c r="C631" s="78" t="s">
        <v>942</v>
      </c>
      <c r="D631" s="79"/>
      <c r="E631" s="87"/>
      <c r="F631" s="80">
        <f t="shared" si="18"/>
        <v>0</v>
      </c>
      <c r="G631" s="80">
        <f t="shared" si="19"/>
        <v>0</v>
      </c>
      <c r="H631" s="81"/>
      <c r="I631" s="81"/>
      <c r="J631" s="82"/>
    </row>
    <row r="632" spans="1:10" hidden="1" outlineLevel="3" x14ac:dyDescent="0.35">
      <c r="A632" s="78">
        <v>5</v>
      </c>
      <c r="B632" s="78" t="s">
        <v>385</v>
      </c>
      <c r="C632" s="78" t="s">
        <v>943</v>
      </c>
      <c r="D632" s="79"/>
      <c r="E632" s="87"/>
      <c r="F632" s="80">
        <f t="shared" si="18"/>
        <v>0</v>
      </c>
      <c r="G632" s="80">
        <f t="shared" si="19"/>
        <v>0</v>
      </c>
      <c r="H632" s="81"/>
      <c r="I632" s="81"/>
      <c r="J632" s="82"/>
    </row>
    <row r="633" spans="1:10" hidden="1" outlineLevel="2" collapsed="1" x14ac:dyDescent="0.35">
      <c r="A633" s="74">
        <v>4</v>
      </c>
      <c r="B633" s="74" t="s">
        <v>392</v>
      </c>
      <c r="C633" s="74" t="s">
        <v>944</v>
      </c>
      <c r="D633" s="75" t="s">
        <v>404</v>
      </c>
      <c r="E633" s="86" t="str">
        <f>IFERROR(SUBTOTAL(1,E634:E641),"")</f>
        <v/>
      </c>
      <c r="F633" s="74">
        <f t="shared" si="18"/>
        <v>0</v>
      </c>
      <c r="G633" s="74">
        <f t="shared" si="19"/>
        <v>0</v>
      </c>
      <c r="H633" s="76">
        <f>MIN(H634:H641)</f>
        <v>0</v>
      </c>
      <c r="I633" s="76">
        <f>MAX(I634:I641)</f>
        <v>0</v>
      </c>
      <c r="J633" s="77"/>
    </row>
    <row r="634" spans="1:10" hidden="1" outlineLevel="3" x14ac:dyDescent="0.35">
      <c r="A634" s="78">
        <v>5</v>
      </c>
      <c r="B634" s="78" t="s">
        <v>385</v>
      </c>
      <c r="C634" s="78" t="s">
        <v>945</v>
      </c>
      <c r="D634" s="79" t="s">
        <v>339</v>
      </c>
      <c r="E634" s="87"/>
      <c r="F634" s="80">
        <f t="shared" si="18"/>
        <v>0</v>
      </c>
      <c r="G634" s="80">
        <f t="shared" si="19"/>
        <v>0</v>
      </c>
      <c r="H634" s="81"/>
      <c r="I634" s="81"/>
      <c r="J634" s="82"/>
    </row>
    <row r="635" spans="1:10" hidden="1" outlineLevel="3" x14ac:dyDescent="0.35">
      <c r="A635" s="78">
        <v>5</v>
      </c>
      <c r="B635" s="78" t="s">
        <v>385</v>
      </c>
      <c r="C635" s="78" t="s">
        <v>946</v>
      </c>
      <c r="D635" s="79" t="s">
        <v>336</v>
      </c>
      <c r="E635" s="87"/>
      <c r="F635" s="80">
        <f t="shared" si="18"/>
        <v>0</v>
      </c>
      <c r="G635" s="80">
        <f t="shared" si="19"/>
        <v>0</v>
      </c>
      <c r="H635" s="81"/>
      <c r="I635" s="81"/>
      <c r="J635" s="82"/>
    </row>
    <row r="636" spans="1:10" hidden="1" outlineLevel="3" x14ac:dyDescent="0.35">
      <c r="A636" s="78">
        <v>5</v>
      </c>
      <c r="B636" s="78" t="s">
        <v>385</v>
      </c>
      <c r="C636" s="78" t="s">
        <v>947</v>
      </c>
      <c r="D636" s="79" t="s">
        <v>351</v>
      </c>
      <c r="E636" s="87"/>
      <c r="F636" s="80">
        <f t="shared" si="18"/>
        <v>0</v>
      </c>
      <c r="G636" s="80">
        <f t="shared" si="19"/>
        <v>0</v>
      </c>
      <c r="H636" s="81"/>
      <c r="I636" s="81"/>
      <c r="J636" s="82"/>
    </row>
    <row r="637" spans="1:10" hidden="1" outlineLevel="3" x14ac:dyDescent="0.35">
      <c r="A637" s="78">
        <v>5</v>
      </c>
      <c r="B637" s="78" t="s">
        <v>385</v>
      </c>
      <c r="C637" s="78" t="s">
        <v>948</v>
      </c>
      <c r="D637" s="79"/>
      <c r="E637" s="87"/>
      <c r="F637" s="80">
        <f t="shared" si="18"/>
        <v>0</v>
      </c>
      <c r="G637" s="80">
        <f t="shared" si="19"/>
        <v>0</v>
      </c>
      <c r="H637" s="81"/>
      <c r="I637" s="81"/>
      <c r="J637" s="82"/>
    </row>
    <row r="638" spans="1:10" hidden="1" outlineLevel="3" x14ac:dyDescent="0.35">
      <c r="A638" s="78">
        <v>5</v>
      </c>
      <c r="B638" s="78" t="s">
        <v>385</v>
      </c>
      <c r="C638" s="78" t="s">
        <v>949</v>
      </c>
      <c r="D638" s="79"/>
      <c r="E638" s="87"/>
      <c r="F638" s="80">
        <f t="shared" si="18"/>
        <v>0</v>
      </c>
      <c r="G638" s="80">
        <f t="shared" si="19"/>
        <v>0</v>
      </c>
      <c r="H638" s="81"/>
      <c r="I638" s="81"/>
      <c r="J638" s="82"/>
    </row>
    <row r="639" spans="1:10" hidden="1" outlineLevel="3" x14ac:dyDescent="0.35">
      <c r="A639" s="78">
        <v>5</v>
      </c>
      <c r="B639" s="78" t="s">
        <v>385</v>
      </c>
      <c r="C639" s="78" t="s">
        <v>950</v>
      </c>
      <c r="D639" s="79"/>
      <c r="E639" s="87"/>
      <c r="F639" s="80">
        <f t="shared" si="18"/>
        <v>0</v>
      </c>
      <c r="G639" s="80">
        <f t="shared" si="19"/>
        <v>0</v>
      </c>
      <c r="H639" s="81"/>
      <c r="I639" s="81"/>
      <c r="J639" s="82"/>
    </row>
    <row r="640" spans="1:10" hidden="1" outlineLevel="3" x14ac:dyDescent="0.35">
      <c r="A640" s="78">
        <v>5</v>
      </c>
      <c r="B640" s="78" t="s">
        <v>385</v>
      </c>
      <c r="C640" s="78" t="s">
        <v>951</v>
      </c>
      <c r="D640" s="79"/>
      <c r="E640" s="87"/>
      <c r="F640" s="80">
        <f t="shared" si="18"/>
        <v>0</v>
      </c>
      <c r="G640" s="80">
        <f t="shared" si="19"/>
        <v>0</v>
      </c>
      <c r="H640" s="81"/>
      <c r="I640" s="81"/>
      <c r="J640" s="82"/>
    </row>
    <row r="641" spans="1:10" hidden="1" outlineLevel="3" x14ac:dyDescent="0.35">
      <c r="A641" s="78">
        <v>5</v>
      </c>
      <c r="B641" s="78" t="s">
        <v>385</v>
      </c>
      <c r="C641" s="78" t="s">
        <v>952</v>
      </c>
      <c r="D641" s="79"/>
      <c r="E641" s="87"/>
      <c r="F641" s="80">
        <f t="shared" si="18"/>
        <v>0</v>
      </c>
      <c r="G641" s="80">
        <f t="shared" si="19"/>
        <v>0</v>
      </c>
      <c r="H641" s="81"/>
      <c r="I641" s="81"/>
      <c r="J641" s="82"/>
    </row>
    <row r="642" spans="1:10" hidden="1" outlineLevel="2" collapsed="1" x14ac:dyDescent="0.35">
      <c r="A642" s="74">
        <v>4</v>
      </c>
      <c r="B642" s="74" t="s">
        <v>392</v>
      </c>
      <c r="C642" s="74" t="s">
        <v>953</v>
      </c>
      <c r="D642" s="75" t="s">
        <v>414</v>
      </c>
      <c r="E642" s="86" t="str">
        <f>IFERROR(SUBTOTAL(1,E643:E650),"")</f>
        <v/>
      </c>
      <c r="F642" s="74">
        <f t="shared" si="18"/>
        <v>0</v>
      </c>
      <c r="G642" s="74">
        <f t="shared" si="19"/>
        <v>0</v>
      </c>
      <c r="H642" s="76">
        <f>MIN(H643:H650)</f>
        <v>0</v>
      </c>
      <c r="I642" s="76">
        <f>MAX(I643:I650)</f>
        <v>0</v>
      </c>
      <c r="J642" s="77"/>
    </row>
    <row r="643" spans="1:10" hidden="1" outlineLevel="3" x14ac:dyDescent="0.35">
      <c r="A643" s="78">
        <v>5</v>
      </c>
      <c r="B643" s="78" t="s">
        <v>385</v>
      </c>
      <c r="C643" s="78" t="s">
        <v>954</v>
      </c>
      <c r="D643" s="79" t="s">
        <v>335</v>
      </c>
      <c r="E643" s="87"/>
      <c r="F643" s="80">
        <f t="shared" si="18"/>
        <v>0</v>
      </c>
      <c r="G643" s="80">
        <f t="shared" si="19"/>
        <v>0</v>
      </c>
      <c r="H643" s="81"/>
      <c r="I643" s="81"/>
      <c r="J643" s="82"/>
    </row>
    <row r="644" spans="1:10" hidden="1" outlineLevel="3" x14ac:dyDescent="0.35">
      <c r="A644" s="78">
        <v>5</v>
      </c>
      <c r="B644" s="78" t="s">
        <v>385</v>
      </c>
      <c r="C644" s="78" t="s">
        <v>955</v>
      </c>
      <c r="D644" s="79"/>
      <c r="E644" s="87"/>
      <c r="F644" s="80">
        <f t="shared" si="18"/>
        <v>0</v>
      </c>
      <c r="G644" s="80">
        <f t="shared" si="19"/>
        <v>0</v>
      </c>
      <c r="H644" s="81"/>
      <c r="I644" s="81"/>
      <c r="J644" s="82"/>
    </row>
    <row r="645" spans="1:10" hidden="1" outlineLevel="3" x14ac:dyDescent="0.35">
      <c r="A645" s="78">
        <v>5</v>
      </c>
      <c r="B645" s="78" t="s">
        <v>385</v>
      </c>
      <c r="C645" s="78" t="s">
        <v>956</v>
      </c>
      <c r="D645" s="79"/>
      <c r="E645" s="87"/>
      <c r="F645" s="80">
        <f t="shared" si="18"/>
        <v>0</v>
      </c>
      <c r="G645" s="80">
        <f t="shared" si="19"/>
        <v>0</v>
      </c>
      <c r="H645" s="81"/>
      <c r="I645" s="81"/>
      <c r="J645" s="82"/>
    </row>
    <row r="646" spans="1:10" hidden="1" outlineLevel="3" x14ac:dyDescent="0.35">
      <c r="A646" s="78">
        <v>5</v>
      </c>
      <c r="B646" s="78" t="s">
        <v>385</v>
      </c>
      <c r="C646" s="78" t="s">
        <v>957</v>
      </c>
      <c r="D646" s="79"/>
      <c r="E646" s="87"/>
      <c r="F646" s="80">
        <f t="shared" ref="F646:F709" si="20">IFERROR(DATEDIF(H646,I646,"D"),0)</f>
        <v>0</v>
      </c>
      <c r="G646" s="80">
        <f t="shared" ref="G646:G709" si="21">IFERROR(NETWORKDAYS.INTL(H646,I646),0)</f>
        <v>0</v>
      </c>
      <c r="H646" s="81"/>
      <c r="I646" s="81"/>
      <c r="J646" s="82"/>
    </row>
    <row r="647" spans="1:10" hidden="1" outlineLevel="3" x14ac:dyDescent="0.35">
      <c r="A647" s="78">
        <v>5</v>
      </c>
      <c r="B647" s="78" t="s">
        <v>385</v>
      </c>
      <c r="C647" s="78" t="s">
        <v>958</v>
      </c>
      <c r="D647" s="79"/>
      <c r="E647" s="87"/>
      <c r="F647" s="80">
        <f t="shared" si="20"/>
        <v>0</v>
      </c>
      <c r="G647" s="80">
        <f t="shared" si="21"/>
        <v>0</v>
      </c>
      <c r="H647" s="81"/>
      <c r="I647" s="81"/>
      <c r="J647" s="82"/>
    </row>
    <row r="648" spans="1:10" hidden="1" outlineLevel="3" x14ac:dyDescent="0.35">
      <c r="A648" s="78">
        <v>5</v>
      </c>
      <c r="B648" s="78" t="s">
        <v>385</v>
      </c>
      <c r="C648" s="78" t="s">
        <v>959</v>
      </c>
      <c r="D648" s="79"/>
      <c r="E648" s="87"/>
      <c r="F648" s="80">
        <f t="shared" si="20"/>
        <v>0</v>
      </c>
      <c r="G648" s="80">
        <f t="shared" si="21"/>
        <v>0</v>
      </c>
      <c r="H648" s="81"/>
      <c r="I648" s="81"/>
      <c r="J648" s="82"/>
    </row>
    <row r="649" spans="1:10" hidden="1" outlineLevel="3" x14ac:dyDescent="0.35">
      <c r="A649" s="78">
        <v>5</v>
      </c>
      <c r="B649" s="78" t="s">
        <v>385</v>
      </c>
      <c r="C649" s="78" t="s">
        <v>960</v>
      </c>
      <c r="D649" s="79"/>
      <c r="E649" s="87"/>
      <c r="F649" s="80">
        <f t="shared" si="20"/>
        <v>0</v>
      </c>
      <c r="G649" s="80">
        <f t="shared" si="21"/>
        <v>0</v>
      </c>
      <c r="H649" s="81"/>
      <c r="I649" s="81"/>
      <c r="J649" s="82"/>
    </row>
    <row r="650" spans="1:10" hidden="1" outlineLevel="3" x14ac:dyDescent="0.35">
      <c r="A650" s="78">
        <v>5</v>
      </c>
      <c r="B650" s="78" t="s">
        <v>385</v>
      </c>
      <c r="C650" s="78" t="s">
        <v>961</v>
      </c>
      <c r="D650" s="79"/>
      <c r="E650" s="87"/>
      <c r="F650" s="80">
        <f t="shared" si="20"/>
        <v>0</v>
      </c>
      <c r="G650" s="80">
        <f t="shared" si="21"/>
        <v>0</v>
      </c>
      <c r="H650" s="81"/>
      <c r="I650" s="81"/>
      <c r="J650" s="82"/>
    </row>
    <row r="651" spans="1:10" hidden="1" outlineLevel="2" collapsed="1" x14ac:dyDescent="0.35">
      <c r="A651" s="74">
        <v>4</v>
      </c>
      <c r="B651" s="74" t="s">
        <v>392</v>
      </c>
      <c r="C651" s="74" t="s">
        <v>962</v>
      </c>
      <c r="D651" s="75" t="s">
        <v>424</v>
      </c>
      <c r="E651" s="86" t="str">
        <f>IFERROR(SUBTOTAL(1,E652:E659),"")</f>
        <v/>
      </c>
      <c r="F651" s="74">
        <f t="shared" si="20"/>
        <v>0</v>
      </c>
      <c r="G651" s="74">
        <f t="shared" si="21"/>
        <v>0</v>
      </c>
      <c r="H651" s="76">
        <f>MIN(H652:H659)</f>
        <v>0</v>
      </c>
      <c r="I651" s="76">
        <f>MAX(I652:I659)</f>
        <v>0</v>
      </c>
      <c r="J651" s="77"/>
    </row>
    <row r="652" spans="1:10" hidden="1" outlineLevel="3" x14ac:dyDescent="0.35">
      <c r="A652" s="78">
        <v>5</v>
      </c>
      <c r="B652" s="78" t="s">
        <v>385</v>
      </c>
      <c r="C652" s="78" t="s">
        <v>963</v>
      </c>
      <c r="D652" s="79" t="s">
        <v>363</v>
      </c>
      <c r="E652" s="87"/>
      <c r="F652" s="80">
        <f t="shared" si="20"/>
        <v>0</v>
      </c>
      <c r="G652" s="80">
        <f t="shared" si="21"/>
        <v>0</v>
      </c>
      <c r="H652" s="81"/>
      <c r="I652" s="81"/>
      <c r="J652" s="82"/>
    </row>
    <row r="653" spans="1:10" hidden="1" outlineLevel="3" x14ac:dyDescent="0.35">
      <c r="A653" s="78">
        <v>5</v>
      </c>
      <c r="B653" s="78" t="s">
        <v>385</v>
      </c>
      <c r="C653" s="78" t="s">
        <v>964</v>
      </c>
      <c r="D653" s="79" t="s">
        <v>364</v>
      </c>
      <c r="E653" s="87"/>
      <c r="F653" s="80">
        <f t="shared" si="20"/>
        <v>0</v>
      </c>
      <c r="G653" s="80">
        <f t="shared" si="21"/>
        <v>0</v>
      </c>
      <c r="H653" s="81"/>
      <c r="I653" s="81"/>
      <c r="J653" s="82"/>
    </row>
    <row r="654" spans="1:10" hidden="1" outlineLevel="3" x14ac:dyDescent="0.35">
      <c r="A654" s="78">
        <v>5</v>
      </c>
      <c r="B654" s="78" t="s">
        <v>385</v>
      </c>
      <c r="C654" s="78" t="s">
        <v>965</v>
      </c>
      <c r="D654" s="79"/>
      <c r="E654" s="87"/>
      <c r="F654" s="80">
        <f t="shared" si="20"/>
        <v>0</v>
      </c>
      <c r="G654" s="80">
        <f t="shared" si="21"/>
        <v>0</v>
      </c>
      <c r="H654" s="81"/>
      <c r="I654" s="81"/>
      <c r="J654" s="82"/>
    </row>
    <row r="655" spans="1:10" hidden="1" outlineLevel="3" x14ac:dyDescent="0.35">
      <c r="A655" s="78">
        <v>5</v>
      </c>
      <c r="B655" s="78" t="s">
        <v>385</v>
      </c>
      <c r="C655" s="78" t="s">
        <v>966</v>
      </c>
      <c r="D655" s="79"/>
      <c r="E655" s="87"/>
      <c r="F655" s="80">
        <f t="shared" si="20"/>
        <v>0</v>
      </c>
      <c r="G655" s="80">
        <f t="shared" si="21"/>
        <v>0</v>
      </c>
      <c r="H655" s="81"/>
      <c r="I655" s="81"/>
      <c r="J655" s="82"/>
    </row>
    <row r="656" spans="1:10" hidden="1" outlineLevel="3" x14ac:dyDescent="0.35">
      <c r="A656" s="78">
        <v>5</v>
      </c>
      <c r="B656" s="78" t="s">
        <v>385</v>
      </c>
      <c r="C656" s="78" t="s">
        <v>967</v>
      </c>
      <c r="D656" s="79"/>
      <c r="E656" s="87"/>
      <c r="F656" s="80">
        <f t="shared" si="20"/>
        <v>0</v>
      </c>
      <c r="G656" s="80">
        <f t="shared" si="21"/>
        <v>0</v>
      </c>
      <c r="H656" s="81"/>
      <c r="I656" s="81"/>
      <c r="J656" s="82"/>
    </row>
    <row r="657" spans="1:10" hidden="1" outlineLevel="3" x14ac:dyDescent="0.35">
      <c r="A657" s="78">
        <v>5</v>
      </c>
      <c r="B657" s="78" t="s">
        <v>385</v>
      </c>
      <c r="C657" s="78" t="s">
        <v>968</v>
      </c>
      <c r="D657" s="79"/>
      <c r="E657" s="87"/>
      <c r="F657" s="80">
        <f t="shared" si="20"/>
        <v>0</v>
      </c>
      <c r="G657" s="80">
        <f t="shared" si="21"/>
        <v>0</v>
      </c>
      <c r="H657" s="81"/>
      <c r="I657" s="81"/>
      <c r="J657" s="82"/>
    </row>
    <row r="658" spans="1:10" hidden="1" outlineLevel="3" x14ac:dyDescent="0.35">
      <c r="A658" s="78">
        <v>5</v>
      </c>
      <c r="B658" s="78" t="s">
        <v>385</v>
      </c>
      <c r="C658" s="78" t="s">
        <v>969</v>
      </c>
      <c r="D658" s="79"/>
      <c r="E658" s="87"/>
      <c r="F658" s="80">
        <f t="shared" si="20"/>
        <v>0</v>
      </c>
      <c r="G658" s="80">
        <f t="shared" si="21"/>
        <v>0</v>
      </c>
      <c r="H658" s="81"/>
      <c r="I658" s="81"/>
      <c r="J658" s="82"/>
    </row>
    <row r="659" spans="1:10" hidden="1" outlineLevel="3" x14ac:dyDescent="0.35">
      <c r="A659" s="78">
        <v>5</v>
      </c>
      <c r="B659" s="78" t="s">
        <v>385</v>
      </c>
      <c r="C659" s="78" t="s">
        <v>970</v>
      </c>
      <c r="D659" s="79"/>
      <c r="E659" s="87"/>
      <c r="F659" s="80">
        <f t="shared" si="20"/>
        <v>0</v>
      </c>
      <c r="G659" s="80">
        <f t="shared" si="21"/>
        <v>0</v>
      </c>
      <c r="H659" s="81"/>
      <c r="I659" s="81"/>
      <c r="J659" s="82"/>
    </row>
    <row r="660" spans="1:10" hidden="1" outlineLevel="2" collapsed="1" x14ac:dyDescent="0.35">
      <c r="A660" s="74">
        <v>4</v>
      </c>
      <c r="B660" s="74" t="s">
        <v>392</v>
      </c>
      <c r="C660" s="74" t="s">
        <v>971</v>
      </c>
      <c r="D660" s="75" t="s">
        <v>434</v>
      </c>
      <c r="E660" s="86" t="str">
        <f>IFERROR(SUBTOTAL(1,E661:E668),"")</f>
        <v/>
      </c>
      <c r="F660" s="74">
        <f t="shared" si="20"/>
        <v>0</v>
      </c>
      <c r="G660" s="74">
        <f t="shared" si="21"/>
        <v>0</v>
      </c>
      <c r="H660" s="76">
        <f>MIN(H661:H668)</f>
        <v>0</v>
      </c>
      <c r="I660" s="76">
        <f>MAX(I661:I668)</f>
        <v>0</v>
      </c>
      <c r="J660" s="77"/>
    </row>
    <row r="661" spans="1:10" hidden="1" outlineLevel="3" x14ac:dyDescent="0.35">
      <c r="A661" s="78">
        <v>5</v>
      </c>
      <c r="B661" s="78" t="s">
        <v>385</v>
      </c>
      <c r="C661" s="78" t="s">
        <v>972</v>
      </c>
      <c r="D661" s="79"/>
      <c r="E661" s="87"/>
      <c r="F661" s="80">
        <f t="shared" si="20"/>
        <v>0</v>
      </c>
      <c r="G661" s="80">
        <f t="shared" si="21"/>
        <v>0</v>
      </c>
      <c r="H661" s="81"/>
      <c r="I661" s="81"/>
      <c r="J661" s="82"/>
    </row>
    <row r="662" spans="1:10" hidden="1" outlineLevel="3" x14ac:dyDescent="0.35">
      <c r="A662" s="78">
        <v>5</v>
      </c>
      <c r="B662" s="78" t="s">
        <v>385</v>
      </c>
      <c r="C662" s="78" t="s">
        <v>973</v>
      </c>
      <c r="D662" s="79"/>
      <c r="E662" s="87"/>
      <c r="F662" s="80">
        <f t="shared" si="20"/>
        <v>0</v>
      </c>
      <c r="G662" s="80">
        <f t="shared" si="21"/>
        <v>0</v>
      </c>
      <c r="H662" s="81"/>
      <c r="I662" s="81"/>
      <c r="J662" s="82"/>
    </row>
    <row r="663" spans="1:10" hidden="1" outlineLevel="3" x14ac:dyDescent="0.35">
      <c r="A663" s="78">
        <v>5</v>
      </c>
      <c r="B663" s="78" t="s">
        <v>385</v>
      </c>
      <c r="C663" s="78" t="s">
        <v>974</v>
      </c>
      <c r="D663" s="79"/>
      <c r="E663" s="87"/>
      <c r="F663" s="80">
        <f t="shared" si="20"/>
        <v>0</v>
      </c>
      <c r="G663" s="80">
        <f t="shared" si="21"/>
        <v>0</v>
      </c>
      <c r="H663" s="81"/>
      <c r="I663" s="81"/>
      <c r="J663" s="82"/>
    </row>
    <row r="664" spans="1:10" hidden="1" outlineLevel="3" x14ac:dyDescent="0.35">
      <c r="A664" s="78">
        <v>5</v>
      </c>
      <c r="B664" s="78" t="s">
        <v>385</v>
      </c>
      <c r="C664" s="78" t="s">
        <v>975</v>
      </c>
      <c r="D664" s="79"/>
      <c r="E664" s="87"/>
      <c r="F664" s="80">
        <f t="shared" si="20"/>
        <v>0</v>
      </c>
      <c r="G664" s="80">
        <f t="shared" si="21"/>
        <v>0</v>
      </c>
      <c r="H664" s="81"/>
      <c r="I664" s="81"/>
      <c r="J664" s="82"/>
    </row>
    <row r="665" spans="1:10" hidden="1" outlineLevel="3" x14ac:dyDescent="0.35">
      <c r="A665" s="78">
        <v>5</v>
      </c>
      <c r="B665" s="78" t="s">
        <v>385</v>
      </c>
      <c r="C665" s="78" t="s">
        <v>976</v>
      </c>
      <c r="D665" s="79"/>
      <c r="E665" s="87"/>
      <c r="F665" s="80">
        <f t="shared" si="20"/>
        <v>0</v>
      </c>
      <c r="G665" s="80">
        <f t="shared" si="21"/>
        <v>0</v>
      </c>
      <c r="H665" s="81"/>
      <c r="I665" s="81"/>
      <c r="J665" s="82"/>
    </row>
    <row r="666" spans="1:10" hidden="1" outlineLevel="3" x14ac:dyDescent="0.35">
      <c r="A666" s="78">
        <v>5</v>
      </c>
      <c r="B666" s="78" t="s">
        <v>385</v>
      </c>
      <c r="C666" s="78" t="s">
        <v>977</v>
      </c>
      <c r="D666" s="79"/>
      <c r="E666" s="87"/>
      <c r="F666" s="80">
        <f t="shared" si="20"/>
        <v>0</v>
      </c>
      <c r="G666" s="80">
        <f t="shared" si="21"/>
        <v>0</v>
      </c>
      <c r="H666" s="81"/>
      <c r="I666" s="81"/>
      <c r="J666" s="82"/>
    </row>
    <row r="667" spans="1:10" hidden="1" outlineLevel="3" x14ac:dyDescent="0.35">
      <c r="A667" s="78">
        <v>5</v>
      </c>
      <c r="B667" s="78" t="s">
        <v>385</v>
      </c>
      <c r="C667" s="78" t="s">
        <v>978</v>
      </c>
      <c r="D667" s="79"/>
      <c r="E667" s="87"/>
      <c r="F667" s="80">
        <f t="shared" si="20"/>
        <v>0</v>
      </c>
      <c r="G667" s="80">
        <f t="shared" si="21"/>
        <v>0</v>
      </c>
      <c r="H667" s="81"/>
      <c r="I667" s="81"/>
      <c r="J667" s="82"/>
    </row>
    <row r="668" spans="1:10" hidden="1" outlineLevel="3" x14ac:dyDescent="0.35">
      <c r="A668" s="78">
        <v>5</v>
      </c>
      <c r="B668" s="78" t="s">
        <v>385</v>
      </c>
      <c r="C668" s="78" t="s">
        <v>979</v>
      </c>
      <c r="D668" s="79"/>
      <c r="E668" s="87"/>
      <c r="F668" s="80">
        <f t="shared" si="20"/>
        <v>0</v>
      </c>
      <c r="G668" s="80">
        <f t="shared" si="21"/>
        <v>0</v>
      </c>
      <c r="H668" s="81"/>
      <c r="I668" s="81"/>
      <c r="J668" s="82"/>
    </row>
    <row r="669" spans="1:10" hidden="1" outlineLevel="2" collapsed="1" x14ac:dyDescent="0.35">
      <c r="A669" s="74">
        <v>4</v>
      </c>
      <c r="B669" s="74" t="s">
        <v>392</v>
      </c>
      <c r="C669" s="74" t="s">
        <v>980</v>
      </c>
      <c r="D669" s="75" t="s">
        <v>444</v>
      </c>
      <c r="E669" s="86" t="str">
        <f>IFERROR(SUBTOTAL(1,E670:E677),"")</f>
        <v/>
      </c>
      <c r="F669" s="74">
        <f t="shared" si="20"/>
        <v>0</v>
      </c>
      <c r="G669" s="74">
        <f t="shared" si="21"/>
        <v>0</v>
      </c>
      <c r="H669" s="76">
        <f>MIN(H670:H677)</f>
        <v>0</v>
      </c>
      <c r="I669" s="76">
        <f>MAX(I670:I677)</f>
        <v>0</v>
      </c>
      <c r="J669" s="77"/>
    </row>
    <row r="670" spans="1:10" hidden="1" outlineLevel="3" x14ac:dyDescent="0.35">
      <c r="A670" s="78">
        <v>5</v>
      </c>
      <c r="B670" s="78" t="s">
        <v>385</v>
      </c>
      <c r="C670" s="78" t="s">
        <v>1430</v>
      </c>
      <c r="D670" s="79"/>
      <c r="E670" s="87"/>
      <c r="F670" s="80">
        <f t="shared" si="20"/>
        <v>0</v>
      </c>
      <c r="G670" s="80">
        <f t="shared" si="21"/>
        <v>0</v>
      </c>
      <c r="H670" s="81"/>
      <c r="I670" s="81"/>
      <c r="J670" s="82"/>
    </row>
    <row r="671" spans="1:10" hidden="1" outlineLevel="3" x14ac:dyDescent="0.35">
      <c r="A671" s="78">
        <v>5</v>
      </c>
      <c r="B671" s="78" t="s">
        <v>385</v>
      </c>
      <c r="C671" s="78" t="s">
        <v>1431</v>
      </c>
      <c r="D671" s="79"/>
      <c r="E671" s="87"/>
      <c r="F671" s="80">
        <f t="shared" si="20"/>
        <v>0</v>
      </c>
      <c r="G671" s="80">
        <f t="shared" si="21"/>
        <v>0</v>
      </c>
      <c r="H671" s="81"/>
      <c r="I671" s="81"/>
      <c r="J671" s="82"/>
    </row>
    <row r="672" spans="1:10" hidden="1" outlineLevel="3" x14ac:dyDescent="0.35">
      <c r="A672" s="78">
        <v>5</v>
      </c>
      <c r="B672" s="78" t="s">
        <v>385</v>
      </c>
      <c r="C672" s="78" t="s">
        <v>1432</v>
      </c>
      <c r="D672" s="79"/>
      <c r="E672" s="87"/>
      <c r="F672" s="80">
        <f t="shared" si="20"/>
        <v>0</v>
      </c>
      <c r="G672" s="80">
        <f t="shared" si="21"/>
        <v>0</v>
      </c>
      <c r="H672" s="81"/>
      <c r="I672" s="81"/>
      <c r="J672" s="82"/>
    </row>
    <row r="673" spans="1:10" hidden="1" outlineLevel="3" x14ac:dyDescent="0.35">
      <c r="A673" s="78">
        <v>5</v>
      </c>
      <c r="B673" s="78" t="s">
        <v>385</v>
      </c>
      <c r="C673" s="78" t="s">
        <v>1433</v>
      </c>
      <c r="D673" s="79"/>
      <c r="E673" s="87"/>
      <c r="F673" s="80">
        <f t="shared" si="20"/>
        <v>0</v>
      </c>
      <c r="G673" s="80">
        <f t="shared" si="21"/>
        <v>0</v>
      </c>
      <c r="H673" s="81"/>
      <c r="I673" s="81"/>
      <c r="J673" s="82"/>
    </row>
    <row r="674" spans="1:10" hidden="1" outlineLevel="3" x14ac:dyDescent="0.35">
      <c r="A674" s="78">
        <v>5</v>
      </c>
      <c r="B674" s="78" t="s">
        <v>385</v>
      </c>
      <c r="C674" s="78" t="s">
        <v>1434</v>
      </c>
      <c r="D674" s="79"/>
      <c r="E674" s="87"/>
      <c r="F674" s="80">
        <f t="shared" si="20"/>
        <v>0</v>
      </c>
      <c r="G674" s="80">
        <f t="shared" si="21"/>
        <v>0</v>
      </c>
      <c r="H674" s="81"/>
      <c r="I674" s="81"/>
      <c r="J674" s="82"/>
    </row>
    <row r="675" spans="1:10" hidden="1" outlineLevel="3" x14ac:dyDescent="0.35">
      <c r="A675" s="78">
        <v>5</v>
      </c>
      <c r="B675" s="78" t="s">
        <v>385</v>
      </c>
      <c r="C675" s="78" t="s">
        <v>1435</v>
      </c>
      <c r="D675" s="79"/>
      <c r="E675" s="87"/>
      <c r="F675" s="80">
        <f t="shared" si="20"/>
        <v>0</v>
      </c>
      <c r="G675" s="80">
        <f t="shared" si="21"/>
        <v>0</v>
      </c>
      <c r="H675" s="81"/>
      <c r="I675" s="81"/>
      <c r="J675" s="82"/>
    </row>
    <row r="676" spans="1:10" hidden="1" outlineLevel="3" x14ac:dyDescent="0.35">
      <c r="A676" s="78">
        <v>5</v>
      </c>
      <c r="B676" s="78" t="s">
        <v>385</v>
      </c>
      <c r="C676" s="78" t="s">
        <v>1436</v>
      </c>
      <c r="D676" s="79"/>
      <c r="E676" s="87"/>
      <c r="F676" s="80">
        <f t="shared" si="20"/>
        <v>0</v>
      </c>
      <c r="G676" s="80">
        <f t="shared" si="21"/>
        <v>0</v>
      </c>
      <c r="H676" s="81"/>
      <c r="I676" s="81"/>
      <c r="J676" s="82"/>
    </row>
    <row r="677" spans="1:10" hidden="1" outlineLevel="3" x14ac:dyDescent="0.35">
      <c r="A677" s="78">
        <v>5</v>
      </c>
      <c r="B677" s="78" t="s">
        <v>385</v>
      </c>
      <c r="C677" s="78" t="s">
        <v>1437</v>
      </c>
      <c r="D677" s="79"/>
      <c r="E677" s="87"/>
      <c r="F677" s="80">
        <f t="shared" si="20"/>
        <v>0</v>
      </c>
      <c r="G677" s="80">
        <f t="shared" si="21"/>
        <v>0</v>
      </c>
      <c r="H677" s="81"/>
      <c r="I677" s="81"/>
      <c r="J677" s="82"/>
    </row>
    <row r="678" spans="1:10" outlineLevel="1" collapsed="1" x14ac:dyDescent="0.35">
      <c r="A678" s="67">
        <v>3</v>
      </c>
      <c r="B678" s="67" t="s">
        <v>298</v>
      </c>
      <c r="C678" s="67" t="s">
        <v>981</v>
      </c>
      <c r="D678" s="73" t="s">
        <v>934</v>
      </c>
      <c r="E678" s="85" t="str">
        <f>IFERROR(AVERAGE(E679,E688,E697,E706,E715,E724),"")</f>
        <v/>
      </c>
      <c r="F678" s="67">
        <f t="shared" si="20"/>
        <v>0</v>
      </c>
      <c r="G678" s="67">
        <f t="shared" si="21"/>
        <v>0</v>
      </c>
      <c r="H678" s="72">
        <f>MIN(H679,H688,H697,H706,H715,H724)</f>
        <v>0</v>
      </c>
      <c r="I678" s="72">
        <f>MAX(I679,I688,I697,I706,I715,I724)</f>
        <v>0</v>
      </c>
      <c r="J678" s="71"/>
    </row>
    <row r="679" spans="1:10" hidden="1" outlineLevel="2" collapsed="1" x14ac:dyDescent="0.35">
      <c r="A679" s="74">
        <v>4</v>
      </c>
      <c r="B679" s="74" t="s">
        <v>392</v>
      </c>
      <c r="C679" s="74" t="s">
        <v>983</v>
      </c>
      <c r="D679" s="75" t="s">
        <v>394</v>
      </c>
      <c r="E679" s="86" t="str">
        <f>IFERROR(SUBTOTAL(1,E680:E687),"")</f>
        <v/>
      </c>
      <c r="F679" s="74">
        <f t="shared" si="20"/>
        <v>0</v>
      </c>
      <c r="G679" s="74">
        <f t="shared" si="21"/>
        <v>0</v>
      </c>
      <c r="H679" s="76">
        <f>MIN(H680:H687)</f>
        <v>0</v>
      </c>
      <c r="I679" s="76">
        <f>MAX(I680:I687)</f>
        <v>0</v>
      </c>
      <c r="J679" s="77"/>
    </row>
    <row r="680" spans="1:10" hidden="1" outlineLevel="3" x14ac:dyDescent="0.35">
      <c r="A680" s="78">
        <v>5</v>
      </c>
      <c r="B680" s="78" t="s">
        <v>385</v>
      </c>
      <c r="C680" s="78" t="s">
        <v>984</v>
      </c>
      <c r="D680" s="79" t="s">
        <v>21</v>
      </c>
      <c r="E680" s="87"/>
      <c r="F680" s="80">
        <f t="shared" si="20"/>
        <v>0</v>
      </c>
      <c r="G680" s="80">
        <f t="shared" si="21"/>
        <v>0</v>
      </c>
      <c r="H680" s="81"/>
      <c r="I680" s="81"/>
      <c r="J680" s="82"/>
    </row>
    <row r="681" spans="1:10" hidden="1" outlineLevel="3" x14ac:dyDescent="0.35">
      <c r="A681" s="78">
        <v>5</v>
      </c>
      <c r="B681" s="78" t="s">
        <v>385</v>
      </c>
      <c r="C681" s="78" t="s">
        <v>985</v>
      </c>
      <c r="D681" s="79" t="s">
        <v>350</v>
      </c>
      <c r="E681" s="87"/>
      <c r="F681" s="80">
        <f t="shared" si="20"/>
        <v>0</v>
      </c>
      <c r="G681" s="80">
        <f t="shared" si="21"/>
        <v>0</v>
      </c>
      <c r="H681" s="81"/>
      <c r="I681" s="81"/>
      <c r="J681" s="82"/>
    </row>
    <row r="682" spans="1:10" hidden="1" outlineLevel="3" x14ac:dyDescent="0.35">
      <c r="A682" s="78">
        <v>5</v>
      </c>
      <c r="B682" s="78" t="s">
        <v>385</v>
      </c>
      <c r="C682" s="78" t="s">
        <v>986</v>
      </c>
      <c r="D682" s="79"/>
      <c r="E682" s="87"/>
      <c r="F682" s="80">
        <f t="shared" si="20"/>
        <v>0</v>
      </c>
      <c r="G682" s="80">
        <f t="shared" si="21"/>
        <v>0</v>
      </c>
      <c r="H682" s="81"/>
      <c r="I682" s="81"/>
      <c r="J682" s="82"/>
    </row>
    <row r="683" spans="1:10" hidden="1" outlineLevel="3" x14ac:dyDescent="0.35">
      <c r="A683" s="78">
        <v>5</v>
      </c>
      <c r="B683" s="78" t="s">
        <v>385</v>
      </c>
      <c r="C683" s="78" t="s">
        <v>987</v>
      </c>
      <c r="D683" s="79"/>
      <c r="E683" s="87"/>
      <c r="F683" s="80">
        <f t="shared" si="20"/>
        <v>0</v>
      </c>
      <c r="G683" s="80">
        <f t="shared" si="21"/>
        <v>0</v>
      </c>
      <c r="H683" s="81"/>
      <c r="I683" s="81"/>
      <c r="J683" s="82"/>
    </row>
    <row r="684" spans="1:10" hidden="1" outlineLevel="3" x14ac:dyDescent="0.35">
      <c r="A684" s="78">
        <v>5</v>
      </c>
      <c r="B684" s="78" t="s">
        <v>385</v>
      </c>
      <c r="C684" s="78" t="s">
        <v>988</v>
      </c>
      <c r="D684" s="79"/>
      <c r="E684" s="87"/>
      <c r="F684" s="80">
        <f t="shared" si="20"/>
        <v>0</v>
      </c>
      <c r="G684" s="80">
        <f t="shared" si="21"/>
        <v>0</v>
      </c>
      <c r="H684" s="81"/>
      <c r="I684" s="81"/>
      <c r="J684" s="82"/>
    </row>
    <row r="685" spans="1:10" hidden="1" outlineLevel="3" x14ac:dyDescent="0.35">
      <c r="A685" s="78">
        <v>5</v>
      </c>
      <c r="B685" s="78" t="s">
        <v>385</v>
      </c>
      <c r="C685" s="78" t="s">
        <v>989</v>
      </c>
      <c r="D685" s="79"/>
      <c r="E685" s="87"/>
      <c r="F685" s="80">
        <f t="shared" si="20"/>
        <v>0</v>
      </c>
      <c r="G685" s="80">
        <f t="shared" si="21"/>
        <v>0</v>
      </c>
      <c r="H685" s="81"/>
      <c r="I685" s="81"/>
      <c r="J685" s="82"/>
    </row>
    <row r="686" spans="1:10" hidden="1" outlineLevel="3" x14ac:dyDescent="0.35">
      <c r="A686" s="78">
        <v>5</v>
      </c>
      <c r="B686" s="78" t="s">
        <v>385</v>
      </c>
      <c r="C686" s="78" t="s">
        <v>990</v>
      </c>
      <c r="D686" s="79"/>
      <c r="E686" s="87"/>
      <c r="F686" s="80">
        <f t="shared" si="20"/>
        <v>0</v>
      </c>
      <c r="G686" s="80">
        <f t="shared" si="21"/>
        <v>0</v>
      </c>
      <c r="H686" s="81"/>
      <c r="I686" s="81"/>
      <c r="J686" s="82"/>
    </row>
    <row r="687" spans="1:10" hidden="1" outlineLevel="3" x14ac:dyDescent="0.35">
      <c r="A687" s="78">
        <v>5</v>
      </c>
      <c r="B687" s="78" t="s">
        <v>385</v>
      </c>
      <c r="C687" s="78" t="s">
        <v>991</v>
      </c>
      <c r="D687" s="79"/>
      <c r="E687" s="87"/>
      <c r="F687" s="80">
        <f t="shared" si="20"/>
        <v>0</v>
      </c>
      <c r="G687" s="80">
        <f t="shared" si="21"/>
        <v>0</v>
      </c>
      <c r="H687" s="81"/>
      <c r="I687" s="81"/>
      <c r="J687" s="82"/>
    </row>
    <row r="688" spans="1:10" hidden="1" outlineLevel="2" collapsed="1" x14ac:dyDescent="0.35">
      <c r="A688" s="74">
        <v>4</v>
      </c>
      <c r="B688" s="74" t="s">
        <v>392</v>
      </c>
      <c r="C688" s="74" t="s">
        <v>992</v>
      </c>
      <c r="D688" s="75" t="s">
        <v>404</v>
      </c>
      <c r="E688" s="86" t="str">
        <f>IFERROR(SUBTOTAL(1,E689:E696),"")</f>
        <v/>
      </c>
      <c r="F688" s="74">
        <f t="shared" si="20"/>
        <v>0</v>
      </c>
      <c r="G688" s="74">
        <f t="shared" si="21"/>
        <v>0</v>
      </c>
      <c r="H688" s="76">
        <f>MIN(H689:H696)</f>
        <v>0</v>
      </c>
      <c r="I688" s="76">
        <f>MAX(I689:I696)</f>
        <v>0</v>
      </c>
      <c r="J688" s="77"/>
    </row>
    <row r="689" spans="1:10" hidden="1" outlineLevel="3" x14ac:dyDescent="0.35">
      <c r="A689" s="78">
        <v>5</v>
      </c>
      <c r="B689" s="78" t="s">
        <v>385</v>
      </c>
      <c r="C689" s="78" t="s">
        <v>993</v>
      </c>
      <c r="D689" s="79" t="s">
        <v>351</v>
      </c>
      <c r="E689" s="87"/>
      <c r="F689" s="80">
        <f t="shared" si="20"/>
        <v>0</v>
      </c>
      <c r="G689" s="80">
        <f t="shared" si="21"/>
        <v>0</v>
      </c>
      <c r="H689" s="81"/>
      <c r="I689" s="81"/>
      <c r="J689" s="82"/>
    </row>
    <row r="690" spans="1:10" hidden="1" outlineLevel="3" x14ac:dyDescent="0.35">
      <c r="A690" s="78">
        <v>5</v>
      </c>
      <c r="B690" s="78" t="s">
        <v>385</v>
      </c>
      <c r="C690" s="78" t="s">
        <v>994</v>
      </c>
      <c r="D690" s="79"/>
      <c r="E690" s="87"/>
      <c r="F690" s="80">
        <f t="shared" si="20"/>
        <v>0</v>
      </c>
      <c r="G690" s="80">
        <f t="shared" si="21"/>
        <v>0</v>
      </c>
      <c r="H690" s="81"/>
      <c r="I690" s="81"/>
      <c r="J690" s="82"/>
    </row>
    <row r="691" spans="1:10" hidden="1" outlineLevel="3" x14ac:dyDescent="0.35">
      <c r="A691" s="78">
        <v>5</v>
      </c>
      <c r="B691" s="78" t="s">
        <v>385</v>
      </c>
      <c r="C691" s="78" t="s">
        <v>995</v>
      </c>
      <c r="D691" s="79"/>
      <c r="E691" s="87"/>
      <c r="F691" s="80">
        <f t="shared" si="20"/>
        <v>0</v>
      </c>
      <c r="G691" s="80">
        <f t="shared" si="21"/>
        <v>0</v>
      </c>
      <c r="H691" s="81"/>
      <c r="I691" s="81"/>
      <c r="J691" s="82"/>
    </row>
    <row r="692" spans="1:10" hidden="1" outlineLevel="3" x14ac:dyDescent="0.35">
      <c r="A692" s="78">
        <v>5</v>
      </c>
      <c r="B692" s="78" t="s">
        <v>385</v>
      </c>
      <c r="C692" s="78" t="s">
        <v>996</v>
      </c>
      <c r="D692" s="79"/>
      <c r="E692" s="87"/>
      <c r="F692" s="80">
        <f t="shared" si="20"/>
        <v>0</v>
      </c>
      <c r="G692" s="80">
        <f t="shared" si="21"/>
        <v>0</v>
      </c>
      <c r="H692" s="81"/>
      <c r="I692" s="81"/>
      <c r="J692" s="82"/>
    </row>
    <row r="693" spans="1:10" hidden="1" outlineLevel="3" x14ac:dyDescent="0.35">
      <c r="A693" s="78">
        <v>5</v>
      </c>
      <c r="B693" s="78" t="s">
        <v>385</v>
      </c>
      <c r="C693" s="78" t="s">
        <v>997</v>
      </c>
      <c r="D693" s="79"/>
      <c r="E693" s="87"/>
      <c r="F693" s="80">
        <f t="shared" si="20"/>
        <v>0</v>
      </c>
      <c r="G693" s="80">
        <f t="shared" si="21"/>
        <v>0</v>
      </c>
      <c r="H693" s="81"/>
      <c r="I693" s="81"/>
      <c r="J693" s="82"/>
    </row>
    <row r="694" spans="1:10" hidden="1" outlineLevel="3" x14ac:dyDescent="0.35">
      <c r="A694" s="78">
        <v>5</v>
      </c>
      <c r="B694" s="78" t="s">
        <v>385</v>
      </c>
      <c r="C694" s="78" t="s">
        <v>998</v>
      </c>
      <c r="D694" s="79"/>
      <c r="E694" s="87"/>
      <c r="F694" s="80">
        <f t="shared" si="20"/>
        <v>0</v>
      </c>
      <c r="G694" s="80">
        <f t="shared" si="21"/>
        <v>0</v>
      </c>
      <c r="H694" s="81"/>
      <c r="I694" s="81"/>
      <c r="J694" s="82"/>
    </row>
    <row r="695" spans="1:10" hidden="1" outlineLevel="3" x14ac:dyDescent="0.35">
      <c r="A695" s="78">
        <v>5</v>
      </c>
      <c r="B695" s="78" t="s">
        <v>385</v>
      </c>
      <c r="C695" s="78" t="s">
        <v>999</v>
      </c>
      <c r="D695" s="79"/>
      <c r="E695" s="87"/>
      <c r="F695" s="80">
        <f t="shared" si="20"/>
        <v>0</v>
      </c>
      <c r="G695" s="80">
        <f t="shared" si="21"/>
        <v>0</v>
      </c>
      <c r="H695" s="81"/>
      <c r="I695" s="81"/>
      <c r="J695" s="82"/>
    </row>
    <row r="696" spans="1:10" hidden="1" outlineLevel="3" x14ac:dyDescent="0.35">
      <c r="A696" s="78">
        <v>5</v>
      </c>
      <c r="B696" s="78" t="s">
        <v>385</v>
      </c>
      <c r="C696" s="78" t="s">
        <v>1000</v>
      </c>
      <c r="D696" s="79"/>
      <c r="E696" s="87"/>
      <c r="F696" s="80">
        <f t="shared" si="20"/>
        <v>0</v>
      </c>
      <c r="G696" s="80">
        <f t="shared" si="21"/>
        <v>0</v>
      </c>
      <c r="H696" s="81"/>
      <c r="I696" s="81"/>
      <c r="J696" s="82"/>
    </row>
    <row r="697" spans="1:10" hidden="1" outlineLevel="2" collapsed="1" x14ac:dyDescent="0.35">
      <c r="A697" s="74">
        <v>4</v>
      </c>
      <c r="B697" s="74" t="s">
        <v>392</v>
      </c>
      <c r="C697" s="74" t="s">
        <v>1001</v>
      </c>
      <c r="D697" s="75" t="s">
        <v>414</v>
      </c>
      <c r="E697" s="86" t="str">
        <f>IFERROR(SUBTOTAL(1,E698:E705),"")</f>
        <v/>
      </c>
      <c r="F697" s="74">
        <f t="shared" si="20"/>
        <v>0</v>
      </c>
      <c r="G697" s="74">
        <f t="shared" si="21"/>
        <v>0</v>
      </c>
      <c r="H697" s="76">
        <f>MIN(H698:H705)</f>
        <v>0</v>
      </c>
      <c r="I697" s="76">
        <f>MAX(I698:I705)</f>
        <v>0</v>
      </c>
      <c r="J697" s="77"/>
    </row>
    <row r="698" spans="1:10" hidden="1" outlineLevel="3" x14ac:dyDescent="0.35">
      <c r="A698" s="78">
        <v>5</v>
      </c>
      <c r="B698" s="78" t="s">
        <v>385</v>
      </c>
      <c r="C698" s="78" t="s">
        <v>1002</v>
      </c>
      <c r="D698" s="79"/>
      <c r="E698" s="87"/>
      <c r="F698" s="80">
        <f t="shared" si="20"/>
        <v>0</v>
      </c>
      <c r="G698" s="80">
        <f t="shared" si="21"/>
        <v>0</v>
      </c>
      <c r="H698" s="81"/>
      <c r="I698" s="81"/>
      <c r="J698" s="82"/>
    </row>
    <row r="699" spans="1:10" hidden="1" outlineLevel="3" x14ac:dyDescent="0.35">
      <c r="A699" s="78">
        <v>5</v>
      </c>
      <c r="B699" s="78" t="s">
        <v>385</v>
      </c>
      <c r="C699" s="78" t="s">
        <v>1003</v>
      </c>
      <c r="D699" s="79"/>
      <c r="E699" s="87"/>
      <c r="F699" s="80">
        <f t="shared" si="20"/>
        <v>0</v>
      </c>
      <c r="G699" s="80">
        <f t="shared" si="21"/>
        <v>0</v>
      </c>
      <c r="H699" s="81"/>
      <c r="I699" s="81"/>
      <c r="J699" s="82"/>
    </row>
    <row r="700" spans="1:10" hidden="1" outlineLevel="3" x14ac:dyDescent="0.35">
      <c r="A700" s="78">
        <v>5</v>
      </c>
      <c r="B700" s="78" t="s">
        <v>385</v>
      </c>
      <c r="C700" s="78" t="s">
        <v>1004</v>
      </c>
      <c r="D700" s="79"/>
      <c r="E700" s="87"/>
      <c r="F700" s="80">
        <f t="shared" si="20"/>
        <v>0</v>
      </c>
      <c r="G700" s="80">
        <f t="shared" si="21"/>
        <v>0</v>
      </c>
      <c r="H700" s="81"/>
      <c r="I700" s="81"/>
      <c r="J700" s="82"/>
    </row>
    <row r="701" spans="1:10" hidden="1" outlineLevel="3" x14ac:dyDescent="0.35">
      <c r="A701" s="78">
        <v>5</v>
      </c>
      <c r="B701" s="78" t="s">
        <v>385</v>
      </c>
      <c r="C701" s="78" t="s">
        <v>1005</v>
      </c>
      <c r="D701" s="79"/>
      <c r="E701" s="87"/>
      <c r="F701" s="80">
        <f t="shared" si="20"/>
        <v>0</v>
      </c>
      <c r="G701" s="80">
        <f t="shared" si="21"/>
        <v>0</v>
      </c>
      <c r="H701" s="81"/>
      <c r="I701" s="81"/>
      <c r="J701" s="82"/>
    </row>
    <row r="702" spans="1:10" hidden="1" outlineLevel="3" x14ac:dyDescent="0.35">
      <c r="A702" s="78">
        <v>5</v>
      </c>
      <c r="B702" s="78" t="s">
        <v>385</v>
      </c>
      <c r="C702" s="78" t="s">
        <v>1006</v>
      </c>
      <c r="D702" s="79"/>
      <c r="E702" s="87"/>
      <c r="F702" s="80">
        <f t="shared" si="20"/>
        <v>0</v>
      </c>
      <c r="G702" s="80">
        <f t="shared" si="21"/>
        <v>0</v>
      </c>
      <c r="H702" s="81"/>
      <c r="I702" s="81"/>
      <c r="J702" s="82"/>
    </row>
    <row r="703" spans="1:10" hidden="1" outlineLevel="3" x14ac:dyDescent="0.35">
      <c r="A703" s="78">
        <v>5</v>
      </c>
      <c r="B703" s="78" t="s">
        <v>385</v>
      </c>
      <c r="C703" s="78" t="s">
        <v>1007</v>
      </c>
      <c r="D703" s="79"/>
      <c r="E703" s="87"/>
      <c r="F703" s="80">
        <f t="shared" si="20"/>
        <v>0</v>
      </c>
      <c r="G703" s="80">
        <f t="shared" si="21"/>
        <v>0</v>
      </c>
      <c r="H703" s="81"/>
      <c r="I703" s="81"/>
      <c r="J703" s="82"/>
    </row>
    <row r="704" spans="1:10" hidden="1" outlineLevel="3" x14ac:dyDescent="0.35">
      <c r="A704" s="78">
        <v>5</v>
      </c>
      <c r="B704" s="78" t="s">
        <v>385</v>
      </c>
      <c r="C704" s="78" t="s">
        <v>1008</v>
      </c>
      <c r="D704" s="79"/>
      <c r="E704" s="87"/>
      <c r="F704" s="80">
        <f t="shared" si="20"/>
        <v>0</v>
      </c>
      <c r="G704" s="80">
        <f t="shared" si="21"/>
        <v>0</v>
      </c>
      <c r="H704" s="81"/>
      <c r="I704" s="81"/>
      <c r="J704" s="82"/>
    </row>
    <row r="705" spans="1:10" hidden="1" outlineLevel="3" x14ac:dyDescent="0.35">
      <c r="A705" s="78">
        <v>5</v>
      </c>
      <c r="B705" s="78" t="s">
        <v>385</v>
      </c>
      <c r="C705" s="78" t="s">
        <v>1009</v>
      </c>
      <c r="D705" s="79"/>
      <c r="E705" s="87"/>
      <c r="F705" s="80">
        <f t="shared" si="20"/>
        <v>0</v>
      </c>
      <c r="G705" s="80">
        <f t="shared" si="21"/>
        <v>0</v>
      </c>
      <c r="H705" s="81"/>
      <c r="I705" s="81"/>
      <c r="J705" s="82"/>
    </row>
    <row r="706" spans="1:10" hidden="1" outlineLevel="2" collapsed="1" x14ac:dyDescent="0.35">
      <c r="A706" s="74">
        <v>4</v>
      </c>
      <c r="B706" s="74" t="s">
        <v>392</v>
      </c>
      <c r="C706" s="74" t="s">
        <v>1010</v>
      </c>
      <c r="D706" s="75" t="s">
        <v>424</v>
      </c>
      <c r="E706" s="86" t="str">
        <f>IFERROR(SUBTOTAL(1,E707:E714),"")</f>
        <v/>
      </c>
      <c r="F706" s="74">
        <f t="shared" si="20"/>
        <v>0</v>
      </c>
      <c r="G706" s="74">
        <f t="shared" si="21"/>
        <v>0</v>
      </c>
      <c r="H706" s="76">
        <f>MIN(H707:H714)</f>
        <v>0</v>
      </c>
      <c r="I706" s="76">
        <f>MAX(I707:I714)</f>
        <v>0</v>
      </c>
      <c r="J706" s="77"/>
    </row>
    <row r="707" spans="1:10" hidden="1" outlineLevel="3" x14ac:dyDescent="0.35">
      <c r="A707" s="78">
        <v>5</v>
      </c>
      <c r="B707" s="78" t="s">
        <v>385</v>
      </c>
      <c r="C707" s="78" t="s">
        <v>1011</v>
      </c>
      <c r="D707" s="79"/>
      <c r="E707" s="87"/>
      <c r="F707" s="80">
        <f t="shared" si="20"/>
        <v>0</v>
      </c>
      <c r="G707" s="80">
        <f t="shared" si="21"/>
        <v>0</v>
      </c>
      <c r="H707" s="81"/>
      <c r="I707" s="81"/>
      <c r="J707" s="82"/>
    </row>
    <row r="708" spans="1:10" hidden="1" outlineLevel="3" x14ac:dyDescent="0.35">
      <c r="A708" s="78">
        <v>5</v>
      </c>
      <c r="B708" s="78" t="s">
        <v>385</v>
      </c>
      <c r="C708" s="78" t="s">
        <v>1012</v>
      </c>
      <c r="D708" s="79"/>
      <c r="E708" s="87"/>
      <c r="F708" s="80">
        <f t="shared" si="20"/>
        <v>0</v>
      </c>
      <c r="G708" s="80">
        <f t="shared" si="21"/>
        <v>0</v>
      </c>
      <c r="H708" s="81"/>
      <c r="I708" s="81"/>
      <c r="J708" s="82"/>
    </row>
    <row r="709" spans="1:10" hidden="1" outlineLevel="3" x14ac:dyDescent="0.35">
      <c r="A709" s="78">
        <v>5</v>
      </c>
      <c r="B709" s="78" t="s">
        <v>385</v>
      </c>
      <c r="C709" s="78" t="s">
        <v>1013</v>
      </c>
      <c r="D709" s="79"/>
      <c r="E709" s="87"/>
      <c r="F709" s="80">
        <f t="shared" si="20"/>
        <v>0</v>
      </c>
      <c r="G709" s="80">
        <f t="shared" si="21"/>
        <v>0</v>
      </c>
      <c r="H709" s="81"/>
      <c r="I709" s="81"/>
      <c r="J709" s="82"/>
    </row>
    <row r="710" spans="1:10" hidden="1" outlineLevel="3" x14ac:dyDescent="0.35">
      <c r="A710" s="78">
        <v>5</v>
      </c>
      <c r="B710" s="78" t="s">
        <v>385</v>
      </c>
      <c r="C710" s="78" t="s">
        <v>1014</v>
      </c>
      <c r="D710" s="79"/>
      <c r="E710" s="87"/>
      <c r="F710" s="80">
        <f t="shared" ref="F710:F773" si="22">IFERROR(DATEDIF(H710,I710,"D"),0)</f>
        <v>0</v>
      </c>
      <c r="G710" s="80">
        <f t="shared" ref="G710:G773" si="23">IFERROR(NETWORKDAYS.INTL(H710,I710),0)</f>
        <v>0</v>
      </c>
      <c r="H710" s="81"/>
      <c r="I710" s="81"/>
      <c r="J710" s="82"/>
    </row>
    <row r="711" spans="1:10" hidden="1" outlineLevel="3" x14ac:dyDescent="0.35">
      <c r="A711" s="78">
        <v>5</v>
      </c>
      <c r="B711" s="78" t="s">
        <v>385</v>
      </c>
      <c r="C711" s="78" t="s">
        <v>1015</v>
      </c>
      <c r="D711" s="79"/>
      <c r="E711" s="87"/>
      <c r="F711" s="80">
        <f t="shared" si="22"/>
        <v>0</v>
      </c>
      <c r="G711" s="80">
        <f t="shared" si="23"/>
        <v>0</v>
      </c>
      <c r="H711" s="81"/>
      <c r="I711" s="81"/>
      <c r="J711" s="82"/>
    </row>
    <row r="712" spans="1:10" hidden="1" outlineLevel="3" x14ac:dyDescent="0.35">
      <c r="A712" s="78">
        <v>5</v>
      </c>
      <c r="B712" s="78" t="s">
        <v>385</v>
      </c>
      <c r="C712" s="78" t="s">
        <v>1016</v>
      </c>
      <c r="D712" s="79"/>
      <c r="E712" s="87"/>
      <c r="F712" s="80">
        <f t="shared" si="22"/>
        <v>0</v>
      </c>
      <c r="G712" s="80">
        <f t="shared" si="23"/>
        <v>0</v>
      </c>
      <c r="H712" s="81"/>
      <c r="I712" s="81"/>
      <c r="J712" s="82"/>
    </row>
    <row r="713" spans="1:10" hidden="1" outlineLevel="3" x14ac:dyDescent="0.35">
      <c r="A713" s="78">
        <v>5</v>
      </c>
      <c r="B713" s="78" t="s">
        <v>385</v>
      </c>
      <c r="C713" s="78" t="s">
        <v>1017</v>
      </c>
      <c r="D713" s="79"/>
      <c r="E713" s="87"/>
      <c r="F713" s="80">
        <f t="shared" si="22"/>
        <v>0</v>
      </c>
      <c r="G713" s="80">
        <f t="shared" si="23"/>
        <v>0</v>
      </c>
      <c r="H713" s="81"/>
      <c r="I713" s="81"/>
      <c r="J713" s="82"/>
    </row>
    <row r="714" spans="1:10" hidden="1" outlineLevel="3" x14ac:dyDescent="0.35">
      <c r="A714" s="78">
        <v>5</v>
      </c>
      <c r="B714" s="78" t="s">
        <v>385</v>
      </c>
      <c r="C714" s="78" t="s">
        <v>1018</v>
      </c>
      <c r="D714" s="79"/>
      <c r="E714" s="87"/>
      <c r="F714" s="80">
        <f t="shared" si="22"/>
        <v>0</v>
      </c>
      <c r="G714" s="80">
        <f t="shared" si="23"/>
        <v>0</v>
      </c>
      <c r="H714" s="81"/>
      <c r="I714" s="81"/>
      <c r="J714" s="82"/>
    </row>
    <row r="715" spans="1:10" hidden="1" outlineLevel="2" collapsed="1" x14ac:dyDescent="0.35">
      <c r="A715" s="74">
        <v>4</v>
      </c>
      <c r="B715" s="74" t="s">
        <v>392</v>
      </c>
      <c r="C715" s="74" t="s">
        <v>1019</v>
      </c>
      <c r="D715" s="75" t="s">
        <v>434</v>
      </c>
      <c r="E715" s="86" t="str">
        <f>IFERROR(SUBTOTAL(1,E716:E723),"")</f>
        <v/>
      </c>
      <c r="F715" s="74">
        <f t="shared" si="22"/>
        <v>0</v>
      </c>
      <c r="G715" s="74">
        <f t="shared" si="23"/>
        <v>0</v>
      </c>
      <c r="H715" s="76">
        <f>MIN(H716:H723)</f>
        <v>0</v>
      </c>
      <c r="I715" s="76">
        <f>MAX(I716:I723)</f>
        <v>0</v>
      </c>
      <c r="J715" s="77"/>
    </row>
    <row r="716" spans="1:10" hidden="1" outlineLevel="3" x14ac:dyDescent="0.35">
      <c r="A716" s="78">
        <v>5</v>
      </c>
      <c r="B716" s="78" t="s">
        <v>385</v>
      </c>
      <c r="C716" s="78" t="s">
        <v>1020</v>
      </c>
      <c r="D716" s="79"/>
      <c r="E716" s="87"/>
      <c r="F716" s="80">
        <f t="shared" si="22"/>
        <v>0</v>
      </c>
      <c r="G716" s="80">
        <f t="shared" si="23"/>
        <v>0</v>
      </c>
      <c r="H716" s="81"/>
      <c r="I716" s="81"/>
      <c r="J716" s="82"/>
    </row>
    <row r="717" spans="1:10" hidden="1" outlineLevel="3" x14ac:dyDescent="0.35">
      <c r="A717" s="78">
        <v>5</v>
      </c>
      <c r="B717" s="78" t="s">
        <v>385</v>
      </c>
      <c r="C717" s="78" t="s">
        <v>1021</v>
      </c>
      <c r="D717" s="79"/>
      <c r="E717" s="87"/>
      <c r="F717" s="80">
        <f t="shared" si="22"/>
        <v>0</v>
      </c>
      <c r="G717" s="80">
        <f t="shared" si="23"/>
        <v>0</v>
      </c>
      <c r="H717" s="81"/>
      <c r="I717" s="81"/>
      <c r="J717" s="82"/>
    </row>
    <row r="718" spans="1:10" hidden="1" outlineLevel="3" x14ac:dyDescent="0.35">
      <c r="A718" s="78">
        <v>5</v>
      </c>
      <c r="B718" s="78" t="s">
        <v>385</v>
      </c>
      <c r="C718" s="78" t="s">
        <v>1022</v>
      </c>
      <c r="D718" s="79"/>
      <c r="E718" s="87"/>
      <c r="F718" s="80">
        <f t="shared" si="22"/>
        <v>0</v>
      </c>
      <c r="G718" s="80">
        <f t="shared" si="23"/>
        <v>0</v>
      </c>
      <c r="H718" s="81"/>
      <c r="I718" s="81"/>
      <c r="J718" s="82"/>
    </row>
    <row r="719" spans="1:10" hidden="1" outlineLevel="3" x14ac:dyDescent="0.35">
      <c r="A719" s="78">
        <v>5</v>
      </c>
      <c r="B719" s="78" t="s">
        <v>385</v>
      </c>
      <c r="C719" s="78" t="s">
        <v>1023</v>
      </c>
      <c r="D719" s="79"/>
      <c r="E719" s="87"/>
      <c r="F719" s="80">
        <f t="shared" si="22"/>
        <v>0</v>
      </c>
      <c r="G719" s="80">
        <f t="shared" si="23"/>
        <v>0</v>
      </c>
      <c r="H719" s="81"/>
      <c r="I719" s="81"/>
      <c r="J719" s="82"/>
    </row>
    <row r="720" spans="1:10" hidden="1" outlineLevel="3" x14ac:dyDescent="0.35">
      <c r="A720" s="78">
        <v>5</v>
      </c>
      <c r="B720" s="78" t="s">
        <v>385</v>
      </c>
      <c r="C720" s="78" t="s">
        <v>1024</v>
      </c>
      <c r="D720" s="79"/>
      <c r="E720" s="87"/>
      <c r="F720" s="80">
        <f t="shared" si="22"/>
        <v>0</v>
      </c>
      <c r="G720" s="80">
        <f t="shared" si="23"/>
        <v>0</v>
      </c>
      <c r="H720" s="81"/>
      <c r="I720" s="81"/>
      <c r="J720" s="82"/>
    </row>
    <row r="721" spans="1:10" hidden="1" outlineLevel="3" x14ac:dyDescent="0.35">
      <c r="A721" s="78">
        <v>5</v>
      </c>
      <c r="B721" s="78" t="s">
        <v>385</v>
      </c>
      <c r="C721" s="78" t="s">
        <v>1025</v>
      </c>
      <c r="D721" s="79"/>
      <c r="E721" s="87"/>
      <c r="F721" s="80">
        <f t="shared" si="22"/>
        <v>0</v>
      </c>
      <c r="G721" s="80">
        <f t="shared" si="23"/>
        <v>0</v>
      </c>
      <c r="H721" s="81"/>
      <c r="I721" s="81"/>
      <c r="J721" s="82"/>
    </row>
    <row r="722" spans="1:10" hidden="1" outlineLevel="3" x14ac:dyDescent="0.35">
      <c r="A722" s="78">
        <v>5</v>
      </c>
      <c r="B722" s="78" t="s">
        <v>385</v>
      </c>
      <c r="C722" s="78" t="s">
        <v>1026</v>
      </c>
      <c r="D722" s="79"/>
      <c r="E722" s="87"/>
      <c r="F722" s="80">
        <f t="shared" si="22"/>
        <v>0</v>
      </c>
      <c r="G722" s="80">
        <f t="shared" si="23"/>
        <v>0</v>
      </c>
      <c r="H722" s="81"/>
      <c r="I722" s="81"/>
      <c r="J722" s="82"/>
    </row>
    <row r="723" spans="1:10" hidden="1" outlineLevel="3" x14ac:dyDescent="0.35">
      <c r="A723" s="78">
        <v>5</v>
      </c>
      <c r="B723" s="78" t="s">
        <v>385</v>
      </c>
      <c r="C723" s="78" t="s">
        <v>1027</v>
      </c>
      <c r="D723" s="79"/>
      <c r="E723" s="87"/>
      <c r="F723" s="80">
        <f t="shared" si="22"/>
        <v>0</v>
      </c>
      <c r="G723" s="80">
        <f t="shared" si="23"/>
        <v>0</v>
      </c>
      <c r="H723" s="81"/>
      <c r="I723" s="81"/>
      <c r="J723" s="82"/>
    </row>
    <row r="724" spans="1:10" hidden="1" outlineLevel="2" collapsed="1" x14ac:dyDescent="0.35">
      <c r="A724" s="74">
        <v>4</v>
      </c>
      <c r="B724" s="74" t="s">
        <v>392</v>
      </c>
      <c r="C724" s="74" t="s">
        <v>1028</v>
      </c>
      <c r="D724" s="75" t="s">
        <v>444</v>
      </c>
      <c r="E724" s="86" t="str">
        <f>IFERROR(SUBTOTAL(1,E725:E732),"")</f>
        <v/>
      </c>
      <c r="F724" s="74">
        <f t="shared" si="22"/>
        <v>0</v>
      </c>
      <c r="G724" s="74">
        <f t="shared" si="23"/>
        <v>0</v>
      </c>
      <c r="H724" s="76">
        <f>MIN(H725:H732)</f>
        <v>0</v>
      </c>
      <c r="I724" s="76">
        <f>MAX(I725:I732)</f>
        <v>0</v>
      </c>
      <c r="J724" s="77"/>
    </row>
    <row r="725" spans="1:10" hidden="1" outlineLevel="3" x14ac:dyDescent="0.35">
      <c r="A725" s="78">
        <v>5</v>
      </c>
      <c r="B725" s="78" t="s">
        <v>385</v>
      </c>
      <c r="C725" s="78" t="s">
        <v>1438</v>
      </c>
      <c r="D725" s="79"/>
      <c r="E725" s="87"/>
      <c r="F725" s="80">
        <f t="shared" si="22"/>
        <v>0</v>
      </c>
      <c r="G725" s="80">
        <f t="shared" si="23"/>
        <v>0</v>
      </c>
      <c r="H725" s="81"/>
      <c r="I725" s="81"/>
      <c r="J725" s="82"/>
    </row>
    <row r="726" spans="1:10" hidden="1" outlineLevel="3" x14ac:dyDescent="0.35">
      <c r="A726" s="78">
        <v>5</v>
      </c>
      <c r="B726" s="78" t="s">
        <v>385</v>
      </c>
      <c r="C726" s="78" t="s">
        <v>1439</v>
      </c>
      <c r="D726" s="79"/>
      <c r="E726" s="87"/>
      <c r="F726" s="80">
        <f t="shared" si="22"/>
        <v>0</v>
      </c>
      <c r="G726" s="80">
        <f t="shared" si="23"/>
        <v>0</v>
      </c>
      <c r="H726" s="81"/>
      <c r="I726" s="81"/>
      <c r="J726" s="82"/>
    </row>
    <row r="727" spans="1:10" hidden="1" outlineLevel="3" x14ac:dyDescent="0.35">
      <c r="A727" s="78">
        <v>5</v>
      </c>
      <c r="B727" s="78" t="s">
        <v>385</v>
      </c>
      <c r="C727" s="78" t="s">
        <v>1440</v>
      </c>
      <c r="D727" s="79"/>
      <c r="E727" s="87"/>
      <c r="F727" s="80">
        <f t="shared" si="22"/>
        <v>0</v>
      </c>
      <c r="G727" s="80">
        <f t="shared" si="23"/>
        <v>0</v>
      </c>
      <c r="H727" s="81"/>
      <c r="I727" s="81"/>
      <c r="J727" s="82"/>
    </row>
    <row r="728" spans="1:10" hidden="1" outlineLevel="3" x14ac:dyDescent="0.35">
      <c r="A728" s="78">
        <v>5</v>
      </c>
      <c r="B728" s="78" t="s">
        <v>385</v>
      </c>
      <c r="C728" s="78" t="s">
        <v>1441</v>
      </c>
      <c r="D728" s="79"/>
      <c r="E728" s="87"/>
      <c r="F728" s="80">
        <f t="shared" si="22"/>
        <v>0</v>
      </c>
      <c r="G728" s="80">
        <f t="shared" si="23"/>
        <v>0</v>
      </c>
      <c r="H728" s="81"/>
      <c r="I728" s="81"/>
      <c r="J728" s="82"/>
    </row>
    <row r="729" spans="1:10" hidden="1" outlineLevel="3" x14ac:dyDescent="0.35">
      <c r="A729" s="78">
        <v>5</v>
      </c>
      <c r="B729" s="78" t="s">
        <v>385</v>
      </c>
      <c r="C729" s="78" t="s">
        <v>1442</v>
      </c>
      <c r="D729" s="79"/>
      <c r="E729" s="87"/>
      <c r="F729" s="80">
        <f t="shared" si="22"/>
        <v>0</v>
      </c>
      <c r="G729" s="80">
        <f t="shared" si="23"/>
        <v>0</v>
      </c>
      <c r="H729" s="81"/>
      <c r="I729" s="81"/>
      <c r="J729" s="82"/>
    </row>
    <row r="730" spans="1:10" hidden="1" outlineLevel="3" x14ac:dyDescent="0.35">
      <c r="A730" s="78">
        <v>5</v>
      </c>
      <c r="B730" s="78" t="s">
        <v>385</v>
      </c>
      <c r="C730" s="78" t="s">
        <v>1443</v>
      </c>
      <c r="D730" s="79"/>
      <c r="E730" s="87"/>
      <c r="F730" s="80">
        <f t="shared" si="22"/>
        <v>0</v>
      </c>
      <c r="G730" s="80">
        <f t="shared" si="23"/>
        <v>0</v>
      </c>
      <c r="H730" s="81"/>
      <c r="I730" s="81"/>
      <c r="J730" s="82"/>
    </row>
    <row r="731" spans="1:10" hidden="1" outlineLevel="3" x14ac:dyDescent="0.35">
      <c r="A731" s="78">
        <v>5</v>
      </c>
      <c r="B731" s="78" t="s">
        <v>385</v>
      </c>
      <c r="C731" s="78" t="s">
        <v>1444</v>
      </c>
      <c r="D731" s="79"/>
      <c r="E731" s="87"/>
      <c r="F731" s="80">
        <f t="shared" si="22"/>
        <v>0</v>
      </c>
      <c r="G731" s="80">
        <f t="shared" si="23"/>
        <v>0</v>
      </c>
      <c r="H731" s="81"/>
      <c r="I731" s="81"/>
      <c r="J731" s="82"/>
    </row>
    <row r="732" spans="1:10" hidden="1" outlineLevel="3" x14ac:dyDescent="0.35">
      <c r="A732" s="78">
        <v>5</v>
      </c>
      <c r="B732" s="78" t="s">
        <v>385</v>
      </c>
      <c r="C732" s="78" t="s">
        <v>1445</v>
      </c>
      <c r="D732" s="79"/>
      <c r="E732" s="87"/>
      <c r="F732" s="80">
        <f t="shared" si="22"/>
        <v>0</v>
      </c>
      <c r="G732" s="80">
        <f t="shared" si="23"/>
        <v>0</v>
      </c>
      <c r="H732" s="81"/>
      <c r="I732" s="81"/>
      <c r="J732" s="82"/>
    </row>
    <row r="733" spans="1:10" outlineLevel="1" collapsed="1" x14ac:dyDescent="0.35">
      <c r="A733" s="67">
        <v>3</v>
      </c>
      <c r="B733" s="67" t="s">
        <v>298</v>
      </c>
      <c r="C733" s="67" t="s">
        <v>1029</v>
      </c>
      <c r="D733" s="73" t="s">
        <v>982</v>
      </c>
      <c r="E733" s="85" t="str">
        <f>IFERROR(AVERAGE(E734,E772,E781,E790,E799,E812),"")</f>
        <v/>
      </c>
      <c r="F733" s="67">
        <f t="shared" si="22"/>
        <v>0</v>
      </c>
      <c r="G733" s="67">
        <f t="shared" si="23"/>
        <v>0</v>
      </c>
      <c r="H733" s="72">
        <f>MIN(H734,H772,H781,H790,H799,H812)</f>
        <v>0</v>
      </c>
      <c r="I733" s="72">
        <f>MAX(I734,I772,I781,I790,I799,I812)</f>
        <v>0</v>
      </c>
      <c r="J733" s="71"/>
    </row>
    <row r="734" spans="1:10" hidden="1" outlineLevel="2" collapsed="1" x14ac:dyDescent="0.35">
      <c r="A734" s="74">
        <v>4</v>
      </c>
      <c r="B734" s="74" t="s">
        <v>392</v>
      </c>
      <c r="C734" s="74" t="s">
        <v>1031</v>
      </c>
      <c r="D734" s="75" t="s">
        <v>394</v>
      </c>
      <c r="E734" s="86" t="str">
        <f>IFERROR(SUBTOTAL(1,E735:E771),"")</f>
        <v/>
      </c>
      <c r="F734" s="74">
        <f t="shared" si="22"/>
        <v>0</v>
      </c>
      <c r="G734" s="74">
        <f t="shared" si="23"/>
        <v>0</v>
      </c>
      <c r="H734" s="76">
        <f>MIN(H735:H771)</f>
        <v>0</v>
      </c>
      <c r="I734" s="76">
        <f>MAX(I735:I771)</f>
        <v>0</v>
      </c>
      <c r="J734" s="77"/>
    </row>
    <row r="735" spans="1:10" hidden="1" outlineLevel="3" x14ac:dyDescent="0.35">
      <c r="A735" s="78">
        <v>5</v>
      </c>
      <c r="B735" s="78" t="s">
        <v>385</v>
      </c>
      <c r="C735" s="78" t="s">
        <v>1032</v>
      </c>
      <c r="D735" s="79" t="s">
        <v>36</v>
      </c>
      <c r="E735" s="87"/>
      <c r="F735" s="80">
        <f t="shared" si="22"/>
        <v>0</v>
      </c>
      <c r="G735" s="80">
        <f t="shared" si="23"/>
        <v>0</v>
      </c>
      <c r="H735" s="81"/>
      <c r="I735" s="81"/>
      <c r="J735" s="82"/>
    </row>
    <row r="736" spans="1:10" hidden="1" outlineLevel="3" x14ac:dyDescent="0.35">
      <c r="A736" s="78">
        <v>5</v>
      </c>
      <c r="B736" s="78" t="s">
        <v>385</v>
      </c>
      <c r="C736" s="78" t="s">
        <v>1033</v>
      </c>
      <c r="D736" s="79" t="s">
        <v>34</v>
      </c>
      <c r="E736" s="87"/>
      <c r="F736" s="80">
        <f t="shared" si="22"/>
        <v>0</v>
      </c>
      <c r="G736" s="80">
        <f t="shared" si="23"/>
        <v>0</v>
      </c>
      <c r="H736" s="81"/>
      <c r="I736" s="81"/>
      <c r="J736" s="82"/>
    </row>
    <row r="737" spans="1:10" hidden="1" outlineLevel="3" x14ac:dyDescent="0.35">
      <c r="A737" s="78">
        <v>5</v>
      </c>
      <c r="B737" s="78" t="s">
        <v>385</v>
      </c>
      <c r="C737" s="78" t="s">
        <v>1034</v>
      </c>
      <c r="D737" s="79" t="s">
        <v>76</v>
      </c>
      <c r="E737" s="87"/>
      <c r="F737" s="80">
        <f t="shared" si="22"/>
        <v>0</v>
      </c>
      <c r="G737" s="80">
        <f t="shared" si="23"/>
        <v>0</v>
      </c>
      <c r="H737" s="81"/>
      <c r="I737" s="81"/>
      <c r="J737" s="82"/>
    </row>
    <row r="738" spans="1:10" hidden="1" outlineLevel="3" x14ac:dyDescent="0.35">
      <c r="A738" s="78">
        <v>5</v>
      </c>
      <c r="B738" s="78" t="s">
        <v>385</v>
      </c>
      <c r="C738" s="78" t="s">
        <v>1035</v>
      </c>
      <c r="D738" s="79" t="s">
        <v>332</v>
      </c>
      <c r="E738" s="87"/>
      <c r="F738" s="80">
        <f t="shared" si="22"/>
        <v>0</v>
      </c>
      <c r="G738" s="80">
        <f t="shared" si="23"/>
        <v>0</v>
      </c>
      <c r="H738" s="81"/>
      <c r="I738" s="81"/>
      <c r="J738" s="82"/>
    </row>
    <row r="739" spans="1:10" hidden="1" outlineLevel="3" x14ac:dyDescent="0.35">
      <c r="A739" s="78">
        <v>5</v>
      </c>
      <c r="B739" s="78" t="s">
        <v>385</v>
      </c>
      <c r="C739" s="78" t="s">
        <v>1036</v>
      </c>
      <c r="D739" s="79" t="s">
        <v>334</v>
      </c>
      <c r="E739" s="87"/>
      <c r="F739" s="80">
        <f t="shared" si="22"/>
        <v>0</v>
      </c>
      <c r="G739" s="80">
        <f t="shared" si="23"/>
        <v>0</v>
      </c>
      <c r="H739" s="81"/>
      <c r="I739" s="81"/>
      <c r="J739" s="82"/>
    </row>
    <row r="740" spans="1:10" hidden="1" outlineLevel="3" x14ac:dyDescent="0.35">
      <c r="A740" s="78">
        <v>5</v>
      </c>
      <c r="B740" s="78" t="s">
        <v>385</v>
      </c>
      <c r="C740" s="78" t="s">
        <v>1037</v>
      </c>
      <c r="D740" s="79" t="s">
        <v>350</v>
      </c>
      <c r="E740" s="87"/>
      <c r="F740" s="80">
        <f t="shared" si="22"/>
        <v>0</v>
      </c>
      <c r="G740" s="80">
        <f t="shared" si="23"/>
        <v>0</v>
      </c>
      <c r="H740" s="81"/>
      <c r="I740" s="81"/>
      <c r="J740" s="82"/>
    </row>
    <row r="741" spans="1:10" hidden="1" outlineLevel="3" x14ac:dyDescent="0.35">
      <c r="A741" s="78">
        <v>5</v>
      </c>
      <c r="B741" s="78" t="s">
        <v>385</v>
      </c>
      <c r="C741" s="78" t="s">
        <v>1038</v>
      </c>
      <c r="D741" s="79" t="s">
        <v>21</v>
      </c>
      <c r="E741" s="87"/>
      <c r="F741" s="80">
        <f t="shared" si="22"/>
        <v>0</v>
      </c>
      <c r="G741" s="80">
        <f t="shared" si="23"/>
        <v>0</v>
      </c>
      <c r="H741" s="81"/>
      <c r="I741" s="81"/>
      <c r="J741" s="82"/>
    </row>
    <row r="742" spans="1:10" hidden="1" outlineLevel="3" x14ac:dyDescent="0.35">
      <c r="A742" s="78">
        <v>5</v>
      </c>
      <c r="B742" s="78" t="s">
        <v>385</v>
      </c>
      <c r="C742" s="78" t="s">
        <v>1039</v>
      </c>
      <c r="D742" s="79" t="s">
        <v>75</v>
      </c>
      <c r="E742" s="87"/>
      <c r="F742" s="80">
        <f t="shared" si="22"/>
        <v>0</v>
      </c>
      <c r="G742" s="80">
        <f t="shared" si="23"/>
        <v>0</v>
      </c>
      <c r="H742" s="81"/>
      <c r="I742" s="81"/>
      <c r="J742" s="82"/>
    </row>
    <row r="743" spans="1:10" hidden="1" outlineLevel="3" x14ac:dyDescent="0.35">
      <c r="A743" s="78">
        <v>5</v>
      </c>
      <c r="B743" s="78" t="s">
        <v>385</v>
      </c>
      <c r="C743" s="78" t="s">
        <v>1640</v>
      </c>
      <c r="D743" s="79" t="s">
        <v>76</v>
      </c>
      <c r="E743" s="87"/>
      <c r="F743" s="80">
        <f t="shared" si="22"/>
        <v>0</v>
      </c>
      <c r="G743" s="80">
        <f t="shared" si="23"/>
        <v>0</v>
      </c>
      <c r="H743" s="81"/>
      <c r="I743" s="81"/>
      <c r="J743" s="82"/>
    </row>
    <row r="744" spans="1:10" hidden="1" outlineLevel="3" x14ac:dyDescent="0.35">
      <c r="A744" s="78">
        <v>5</v>
      </c>
      <c r="B744" s="78" t="s">
        <v>385</v>
      </c>
      <c r="C744" s="78" t="s">
        <v>1641</v>
      </c>
      <c r="D744" s="79" t="s">
        <v>77</v>
      </c>
      <c r="E744" s="87"/>
      <c r="F744" s="80">
        <f t="shared" si="22"/>
        <v>0</v>
      </c>
      <c r="G744" s="80">
        <f t="shared" si="23"/>
        <v>0</v>
      </c>
      <c r="H744" s="81"/>
      <c r="I744" s="81"/>
      <c r="J744" s="82"/>
    </row>
    <row r="745" spans="1:10" hidden="1" outlineLevel="3" x14ac:dyDescent="0.35">
      <c r="A745" s="78">
        <v>5</v>
      </c>
      <c r="B745" s="78" t="s">
        <v>385</v>
      </c>
      <c r="C745" s="78" t="s">
        <v>1642</v>
      </c>
      <c r="D745" s="79" t="s">
        <v>78</v>
      </c>
      <c r="E745" s="87"/>
      <c r="F745" s="80">
        <f t="shared" si="22"/>
        <v>0</v>
      </c>
      <c r="G745" s="80">
        <f t="shared" si="23"/>
        <v>0</v>
      </c>
      <c r="H745" s="81"/>
      <c r="I745" s="81"/>
      <c r="J745" s="82"/>
    </row>
    <row r="746" spans="1:10" hidden="1" outlineLevel="3" x14ac:dyDescent="0.35">
      <c r="A746" s="78">
        <v>5</v>
      </c>
      <c r="B746" s="78" t="s">
        <v>385</v>
      </c>
      <c r="C746" s="78" t="s">
        <v>1643</v>
      </c>
      <c r="D746" s="79" t="s">
        <v>79</v>
      </c>
      <c r="E746" s="87"/>
      <c r="F746" s="80">
        <f t="shared" si="22"/>
        <v>0</v>
      </c>
      <c r="G746" s="80">
        <f t="shared" si="23"/>
        <v>0</v>
      </c>
      <c r="H746" s="81"/>
      <c r="I746" s="81"/>
      <c r="J746" s="82"/>
    </row>
    <row r="747" spans="1:10" hidden="1" outlineLevel="3" x14ac:dyDescent="0.35">
      <c r="A747" s="78">
        <v>5</v>
      </c>
      <c r="B747" s="78" t="s">
        <v>385</v>
      </c>
      <c r="C747" s="78" t="s">
        <v>1644</v>
      </c>
      <c r="D747" s="79" t="s">
        <v>75</v>
      </c>
      <c r="E747" s="87"/>
      <c r="F747" s="80">
        <f t="shared" si="22"/>
        <v>0</v>
      </c>
      <c r="G747" s="80">
        <f t="shared" si="23"/>
        <v>0</v>
      </c>
      <c r="H747" s="81"/>
      <c r="I747" s="81"/>
      <c r="J747" s="82"/>
    </row>
    <row r="748" spans="1:10" hidden="1" outlineLevel="3" x14ac:dyDescent="0.35">
      <c r="A748" s="78">
        <v>5</v>
      </c>
      <c r="B748" s="78" t="s">
        <v>385</v>
      </c>
      <c r="C748" s="78" t="s">
        <v>1645</v>
      </c>
      <c r="D748" s="79" t="s">
        <v>76</v>
      </c>
      <c r="E748" s="87"/>
      <c r="F748" s="80">
        <f t="shared" si="22"/>
        <v>0</v>
      </c>
      <c r="G748" s="80">
        <f t="shared" si="23"/>
        <v>0</v>
      </c>
      <c r="H748" s="81"/>
      <c r="I748" s="81"/>
      <c r="J748" s="82"/>
    </row>
    <row r="749" spans="1:10" hidden="1" outlineLevel="3" x14ac:dyDescent="0.35">
      <c r="A749" s="78">
        <v>5</v>
      </c>
      <c r="B749" s="78" t="s">
        <v>385</v>
      </c>
      <c r="C749" s="78" t="s">
        <v>1646</v>
      </c>
      <c r="D749" s="79" t="s">
        <v>77</v>
      </c>
      <c r="E749" s="87"/>
      <c r="F749" s="80">
        <f t="shared" si="22"/>
        <v>0</v>
      </c>
      <c r="G749" s="80">
        <f t="shared" si="23"/>
        <v>0</v>
      </c>
      <c r="H749" s="81"/>
      <c r="I749" s="81"/>
      <c r="J749" s="82"/>
    </row>
    <row r="750" spans="1:10" hidden="1" outlineLevel="3" x14ac:dyDescent="0.35">
      <c r="A750" s="78">
        <v>5</v>
      </c>
      <c r="B750" s="78" t="s">
        <v>385</v>
      </c>
      <c r="C750" s="78" t="s">
        <v>1647</v>
      </c>
      <c r="D750" s="79" t="s">
        <v>78</v>
      </c>
      <c r="E750" s="87"/>
      <c r="F750" s="80">
        <f t="shared" si="22"/>
        <v>0</v>
      </c>
      <c r="G750" s="80">
        <f t="shared" si="23"/>
        <v>0</v>
      </c>
      <c r="H750" s="81"/>
      <c r="I750" s="81"/>
      <c r="J750" s="82"/>
    </row>
    <row r="751" spans="1:10" hidden="1" outlineLevel="3" x14ac:dyDescent="0.35">
      <c r="A751" s="78">
        <v>5</v>
      </c>
      <c r="B751" s="78" t="s">
        <v>385</v>
      </c>
      <c r="C751" s="78" t="s">
        <v>1648</v>
      </c>
      <c r="D751" s="79" t="s">
        <v>79</v>
      </c>
      <c r="E751" s="87"/>
      <c r="F751" s="80">
        <f t="shared" si="22"/>
        <v>0</v>
      </c>
      <c r="G751" s="80">
        <f t="shared" si="23"/>
        <v>0</v>
      </c>
      <c r="H751" s="81"/>
      <c r="I751" s="81"/>
      <c r="J751" s="82"/>
    </row>
    <row r="752" spans="1:10" hidden="1" outlineLevel="3" x14ac:dyDescent="0.35">
      <c r="A752" s="78">
        <v>5</v>
      </c>
      <c r="B752" s="78" t="s">
        <v>385</v>
      </c>
      <c r="C752" s="78" t="s">
        <v>1649</v>
      </c>
      <c r="D752" s="79" t="s">
        <v>75</v>
      </c>
      <c r="E752" s="87"/>
      <c r="F752" s="80">
        <f t="shared" si="22"/>
        <v>0</v>
      </c>
      <c r="G752" s="80">
        <f t="shared" si="23"/>
        <v>0</v>
      </c>
      <c r="H752" s="81"/>
      <c r="I752" s="81"/>
      <c r="J752" s="82"/>
    </row>
    <row r="753" spans="1:10" hidden="1" outlineLevel="3" x14ac:dyDescent="0.35">
      <c r="A753" s="78">
        <v>5</v>
      </c>
      <c r="B753" s="78" t="s">
        <v>385</v>
      </c>
      <c r="C753" s="78" t="s">
        <v>1650</v>
      </c>
      <c r="D753" s="79" t="s">
        <v>76</v>
      </c>
      <c r="E753" s="87"/>
      <c r="F753" s="80">
        <f t="shared" si="22"/>
        <v>0</v>
      </c>
      <c r="G753" s="80">
        <f t="shared" si="23"/>
        <v>0</v>
      </c>
      <c r="H753" s="81"/>
      <c r="I753" s="81"/>
      <c r="J753" s="82"/>
    </row>
    <row r="754" spans="1:10" hidden="1" outlineLevel="3" x14ac:dyDescent="0.35">
      <c r="A754" s="78">
        <v>5</v>
      </c>
      <c r="B754" s="78" t="s">
        <v>385</v>
      </c>
      <c r="C754" s="78" t="s">
        <v>1651</v>
      </c>
      <c r="D754" s="79" t="s">
        <v>77</v>
      </c>
      <c r="E754" s="87"/>
      <c r="F754" s="80">
        <f t="shared" si="22"/>
        <v>0</v>
      </c>
      <c r="G754" s="80">
        <f t="shared" si="23"/>
        <v>0</v>
      </c>
      <c r="H754" s="81"/>
      <c r="I754" s="81"/>
      <c r="J754" s="82"/>
    </row>
    <row r="755" spans="1:10" hidden="1" outlineLevel="3" x14ac:dyDescent="0.35">
      <c r="A755" s="78">
        <v>5</v>
      </c>
      <c r="B755" s="78" t="s">
        <v>385</v>
      </c>
      <c r="C755" s="78" t="s">
        <v>1652</v>
      </c>
      <c r="D755" s="79" t="s">
        <v>78</v>
      </c>
      <c r="E755" s="87"/>
      <c r="F755" s="80">
        <f t="shared" si="22"/>
        <v>0</v>
      </c>
      <c r="G755" s="80">
        <f t="shared" si="23"/>
        <v>0</v>
      </c>
      <c r="H755" s="81"/>
      <c r="I755" s="81"/>
      <c r="J755" s="82"/>
    </row>
    <row r="756" spans="1:10" hidden="1" outlineLevel="3" x14ac:dyDescent="0.35">
      <c r="A756" s="78">
        <v>5</v>
      </c>
      <c r="B756" s="78" t="s">
        <v>385</v>
      </c>
      <c r="C756" s="78" t="s">
        <v>1653</v>
      </c>
      <c r="D756" s="79" t="s">
        <v>79</v>
      </c>
      <c r="E756" s="87"/>
      <c r="F756" s="80">
        <f t="shared" si="22"/>
        <v>0</v>
      </c>
      <c r="G756" s="80">
        <f t="shared" si="23"/>
        <v>0</v>
      </c>
      <c r="H756" s="81"/>
      <c r="I756" s="81"/>
      <c r="J756" s="82"/>
    </row>
    <row r="757" spans="1:10" hidden="1" outlineLevel="3" x14ac:dyDescent="0.35">
      <c r="A757" s="78">
        <v>5</v>
      </c>
      <c r="B757" s="78" t="s">
        <v>385</v>
      </c>
      <c r="C757" s="78" t="s">
        <v>1654</v>
      </c>
      <c r="D757" s="79" t="s">
        <v>75</v>
      </c>
      <c r="E757" s="87"/>
      <c r="F757" s="80">
        <f t="shared" si="22"/>
        <v>0</v>
      </c>
      <c r="G757" s="80">
        <f t="shared" si="23"/>
        <v>0</v>
      </c>
      <c r="H757" s="81"/>
      <c r="I757" s="81"/>
      <c r="J757" s="82"/>
    </row>
    <row r="758" spans="1:10" hidden="1" outlineLevel="3" x14ac:dyDescent="0.35">
      <c r="A758" s="78">
        <v>5</v>
      </c>
      <c r="B758" s="78" t="s">
        <v>385</v>
      </c>
      <c r="C758" s="78" t="s">
        <v>1655</v>
      </c>
      <c r="D758" s="79" t="s">
        <v>76</v>
      </c>
      <c r="E758" s="87"/>
      <c r="F758" s="80">
        <f t="shared" si="22"/>
        <v>0</v>
      </c>
      <c r="G758" s="80">
        <f t="shared" si="23"/>
        <v>0</v>
      </c>
      <c r="H758" s="81"/>
      <c r="I758" s="81"/>
      <c r="J758" s="82"/>
    </row>
    <row r="759" spans="1:10" hidden="1" outlineLevel="3" x14ac:dyDescent="0.35">
      <c r="A759" s="78">
        <v>5</v>
      </c>
      <c r="B759" s="78" t="s">
        <v>385</v>
      </c>
      <c r="C759" s="78" t="s">
        <v>1656</v>
      </c>
      <c r="D759" s="79" t="s">
        <v>77</v>
      </c>
      <c r="E759" s="87"/>
      <c r="F759" s="80">
        <f t="shared" si="22"/>
        <v>0</v>
      </c>
      <c r="G759" s="80">
        <f t="shared" si="23"/>
        <v>0</v>
      </c>
      <c r="H759" s="81"/>
      <c r="I759" s="81"/>
      <c r="J759" s="82"/>
    </row>
    <row r="760" spans="1:10" hidden="1" outlineLevel="3" x14ac:dyDescent="0.35">
      <c r="A760" s="78">
        <v>5</v>
      </c>
      <c r="B760" s="78" t="s">
        <v>385</v>
      </c>
      <c r="C760" s="78" t="s">
        <v>1657</v>
      </c>
      <c r="D760" s="79" t="s">
        <v>78</v>
      </c>
      <c r="E760" s="87"/>
      <c r="F760" s="80">
        <f t="shared" si="22"/>
        <v>0</v>
      </c>
      <c r="G760" s="80">
        <f t="shared" si="23"/>
        <v>0</v>
      </c>
      <c r="H760" s="81"/>
      <c r="I760" s="81"/>
      <c r="J760" s="82"/>
    </row>
    <row r="761" spans="1:10" hidden="1" outlineLevel="3" x14ac:dyDescent="0.35">
      <c r="A761" s="78">
        <v>5</v>
      </c>
      <c r="B761" s="78" t="s">
        <v>385</v>
      </c>
      <c r="C761" s="78" t="s">
        <v>1658</v>
      </c>
      <c r="D761" s="79" t="s">
        <v>79</v>
      </c>
      <c r="E761" s="87"/>
      <c r="F761" s="80">
        <f t="shared" si="22"/>
        <v>0</v>
      </c>
      <c r="G761" s="80">
        <f t="shared" si="23"/>
        <v>0</v>
      </c>
      <c r="H761" s="81"/>
      <c r="I761" s="81"/>
      <c r="J761" s="82"/>
    </row>
    <row r="762" spans="1:10" hidden="1" outlineLevel="3" x14ac:dyDescent="0.35">
      <c r="A762" s="78">
        <v>5</v>
      </c>
      <c r="B762" s="78" t="s">
        <v>385</v>
      </c>
      <c r="C762" s="78" t="s">
        <v>1659</v>
      </c>
      <c r="D762" s="79" t="s">
        <v>75</v>
      </c>
      <c r="E762" s="87"/>
      <c r="F762" s="80">
        <f t="shared" si="22"/>
        <v>0</v>
      </c>
      <c r="G762" s="80">
        <f t="shared" si="23"/>
        <v>0</v>
      </c>
      <c r="H762" s="81"/>
      <c r="I762" s="81"/>
      <c r="J762" s="82"/>
    </row>
    <row r="763" spans="1:10" hidden="1" outlineLevel="3" x14ac:dyDescent="0.35">
      <c r="A763" s="78">
        <v>5</v>
      </c>
      <c r="B763" s="78" t="s">
        <v>385</v>
      </c>
      <c r="C763" s="78" t="s">
        <v>1660</v>
      </c>
      <c r="D763" s="79" t="s">
        <v>76</v>
      </c>
      <c r="E763" s="87"/>
      <c r="F763" s="80">
        <f t="shared" si="22"/>
        <v>0</v>
      </c>
      <c r="G763" s="80">
        <f t="shared" si="23"/>
        <v>0</v>
      </c>
      <c r="H763" s="81"/>
      <c r="I763" s="81"/>
      <c r="J763" s="82"/>
    </row>
    <row r="764" spans="1:10" hidden="1" outlineLevel="3" x14ac:dyDescent="0.35">
      <c r="A764" s="78">
        <v>5</v>
      </c>
      <c r="B764" s="78" t="s">
        <v>385</v>
      </c>
      <c r="C764" s="78" t="s">
        <v>1661</v>
      </c>
      <c r="D764" s="79" t="s">
        <v>77</v>
      </c>
      <c r="E764" s="87"/>
      <c r="F764" s="80">
        <f t="shared" si="22"/>
        <v>0</v>
      </c>
      <c r="G764" s="80">
        <f t="shared" si="23"/>
        <v>0</v>
      </c>
      <c r="H764" s="81"/>
      <c r="I764" s="81"/>
      <c r="J764" s="82"/>
    </row>
    <row r="765" spans="1:10" hidden="1" outlineLevel="3" x14ac:dyDescent="0.35">
      <c r="A765" s="78">
        <v>5</v>
      </c>
      <c r="B765" s="78" t="s">
        <v>385</v>
      </c>
      <c r="C765" s="78" t="s">
        <v>1662</v>
      </c>
      <c r="D765" s="79" t="s">
        <v>78</v>
      </c>
      <c r="E765" s="87"/>
      <c r="F765" s="80">
        <f t="shared" si="22"/>
        <v>0</v>
      </c>
      <c r="G765" s="80">
        <f t="shared" si="23"/>
        <v>0</v>
      </c>
      <c r="H765" s="81"/>
      <c r="I765" s="81"/>
      <c r="J765" s="82"/>
    </row>
    <row r="766" spans="1:10" hidden="1" outlineLevel="3" x14ac:dyDescent="0.35">
      <c r="A766" s="78">
        <v>5</v>
      </c>
      <c r="B766" s="78" t="s">
        <v>385</v>
      </c>
      <c r="C766" s="78" t="s">
        <v>1663</v>
      </c>
      <c r="D766" s="79" t="s">
        <v>79</v>
      </c>
      <c r="E766" s="87"/>
      <c r="F766" s="80">
        <f t="shared" si="22"/>
        <v>0</v>
      </c>
      <c r="G766" s="80">
        <f t="shared" si="23"/>
        <v>0</v>
      </c>
      <c r="H766" s="81"/>
      <c r="I766" s="81"/>
      <c r="J766" s="82"/>
    </row>
    <row r="767" spans="1:10" hidden="1" outlineLevel="3" x14ac:dyDescent="0.35">
      <c r="A767" s="78">
        <v>5</v>
      </c>
      <c r="B767" s="78" t="s">
        <v>385</v>
      </c>
      <c r="C767" s="78" t="s">
        <v>1664</v>
      </c>
      <c r="D767" s="79" t="s">
        <v>75</v>
      </c>
      <c r="E767" s="87"/>
      <c r="F767" s="80">
        <f t="shared" si="22"/>
        <v>0</v>
      </c>
      <c r="G767" s="80">
        <f t="shared" si="23"/>
        <v>0</v>
      </c>
      <c r="H767" s="81"/>
      <c r="I767" s="81"/>
      <c r="J767" s="82"/>
    </row>
    <row r="768" spans="1:10" hidden="1" outlineLevel="3" x14ac:dyDescent="0.35">
      <c r="A768" s="78">
        <v>5</v>
      </c>
      <c r="B768" s="78" t="s">
        <v>385</v>
      </c>
      <c r="C768" s="78" t="s">
        <v>1665</v>
      </c>
      <c r="D768" s="79" t="s">
        <v>76</v>
      </c>
      <c r="E768" s="87"/>
      <c r="F768" s="80">
        <f t="shared" si="22"/>
        <v>0</v>
      </c>
      <c r="G768" s="80">
        <f t="shared" si="23"/>
        <v>0</v>
      </c>
      <c r="H768" s="81"/>
      <c r="I768" s="81"/>
      <c r="J768" s="82"/>
    </row>
    <row r="769" spans="1:10" hidden="1" outlineLevel="3" x14ac:dyDescent="0.35">
      <c r="A769" s="78">
        <v>5</v>
      </c>
      <c r="B769" s="78" t="s">
        <v>385</v>
      </c>
      <c r="C769" s="78" t="s">
        <v>1666</v>
      </c>
      <c r="D769" s="79" t="s">
        <v>77</v>
      </c>
      <c r="E769" s="87"/>
      <c r="F769" s="80">
        <f t="shared" si="22"/>
        <v>0</v>
      </c>
      <c r="G769" s="80">
        <f t="shared" si="23"/>
        <v>0</v>
      </c>
      <c r="H769" s="81"/>
      <c r="I769" s="81"/>
      <c r="J769" s="82"/>
    </row>
    <row r="770" spans="1:10" hidden="1" outlineLevel="3" x14ac:dyDescent="0.35">
      <c r="A770" s="78">
        <v>5</v>
      </c>
      <c r="B770" s="78" t="s">
        <v>385</v>
      </c>
      <c r="C770" s="78" t="s">
        <v>1667</v>
      </c>
      <c r="D770" s="79" t="s">
        <v>78</v>
      </c>
      <c r="E770" s="87"/>
      <c r="F770" s="80">
        <f t="shared" si="22"/>
        <v>0</v>
      </c>
      <c r="G770" s="80">
        <f t="shared" si="23"/>
        <v>0</v>
      </c>
      <c r="H770" s="81"/>
      <c r="I770" s="81"/>
      <c r="J770" s="82"/>
    </row>
    <row r="771" spans="1:10" hidden="1" outlineLevel="3" x14ac:dyDescent="0.35">
      <c r="A771" s="78">
        <v>5</v>
      </c>
      <c r="B771" s="78" t="s">
        <v>385</v>
      </c>
      <c r="C771" s="78" t="s">
        <v>1668</v>
      </c>
      <c r="D771" s="79" t="s">
        <v>79</v>
      </c>
      <c r="E771" s="87"/>
      <c r="F771" s="80">
        <f t="shared" si="22"/>
        <v>0</v>
      </c>
      <c r="G771" s="80">
        <f t="shared" si="23"/>
        <v>0</v>
      </c>
      <c r="H771" s="81"/>
      <c r="I771" s="81"/>
      <c r="J771" s="82"/>
    </row>
    <row r="772" spans="1:10" hidden="1" outlineLevel="2" collapsed="1" x14ac:dyDescent="0.35">
      <c r="A772" s="74">
        <v>4</v>
      </c>
      <c r="B772" s="74" t="s">
        <v>392</v>
      </c>
      <c r="C772" s="74" t="s">
        <v>1040</v>
      </c>
      <c r="D772" s="75" t="s">
        <v>404</v>
      </c>
      <c r="E772" s="86" t="str">
        <f>IFERROR(SUBTOTAL(1,E773:E780),"")</f>
        <v/>
      </c>
      <c r="F772" s="74">
        <f t="shared" si="22"/>
        <v>0</v>
      </c>
      <c r="G772" s="74">
        <f t="shared" si="23"/>
        <v>0</v>
      </c>
      <c r="H772" s="76">
        <f>MIN(H773:H780)</f>
        <v>0</v>
      </c>
      <c r="I772" s="76">
        <f>MAX(I773:I780)</f>
        <v>0</v>
      </c>
      <c r="J772" s="77"/>
    </row>
    <row r="773" spans="1:10" hidden="1" outlineLevel="3" x14ac:dyDescent="0.35">
      <c r="A773" s="78">
        <v>5</v>
      </c>
      <c r="B773" s="78" t="s">
        <v>385</v>
      </c>
      <c r="C773" s="78" t="s">
        <v>1041</v>
      </c>
      <c r="D773" s="79" t="s">
        <v>333</v>
      </c>
      <c r="E773" s="87"/>
      <c r="F773" s="80">
        <f t="shared" si="22"/>
        <v>0</v>
      </c>
      <c r="G773" s="80">
        <f t="shared" si="23"/>
        <v>0</v>
      </c>
      <c r="H773" s="81"/>
      <c r="I773" s="81"/>
      <c r="J773" s="82"/>
    </row>
    <row r="774" spans="1:10" hidden="1" outlineLevel="3" x14ac:dyDescent="0.35">
      <c r="A774" s="78">
        <v>5</v>
      </c>
      <c r="B774" s="78" t="s">
        <v>385</v>
      </c>
      <c r="C774" s="78" t="s">
        <v>1042</v>
      </c>
      <c r="D774" s="79" t="s">
        <v>336</v>
      </c>
      <c r="E774" s="87"/>
      <c r="F774" s="80">
        <f t="shared" ref="F774:F837" si="24">IFERROR(DATEDIF(H774,I774,"D"),0)</f>
        <v>0</v>
      </c>
      <c r="G774" s="80">
        <f t="shared" ref="G774:G837" si="25">IFERROR(NETWORKDAYS.INTL(H774,I774),0)</f>
        <v>0</v>
      </c>
      <c r="H774" s="81"/>
      <c r="I774" s="81"/>
      <c r="J774" s="82"/>
    </row>
    <row r="775" spans="1:10" hidden="1" outlineLevel="3" x14ac:dyDescent="0.35">
      <c r="A775" s="78">
        <v>5</v>
      </c>
      <c r="B775" s="78" t="s">
        <v>385</v>
      </c>
      <c r="C775" s="78" t="s">
        <v>1043</v>
      </c>
      <c r="D775" s="79" t="s">
        <v>351</v>
      </c>
      <c r="E775" s="87"/>
      <c r="F775" s="80">
        <f t="shared" si="24"/>
        <v>0</v>
      </c>
      <c r="G775" s="80">
        <f t="shared" si="25"/>
        <v>0</v>
      </c>
      <c r="H775" s="81"/>
      <c r="I775" s="81"/>
      <c r="J775" s="82"/>
    </row>
    <row r="776" spans="1:10" hidden="1" outlineLevel="3" x14ac:dyDescent="0.35">
      <c r="A776" s="78">
        <v>5</v>
      </c>
      <c r="B776" s="78" t="s">
        <v>385</v>
      </c>
      <c r="C776" s="78" t="s">
        <v>1044</v>
      </c>
      <c r="D776" s="79"/>
      <c r="E776" s="87"/>
      <c r="F776" s="80">
        <f t="shared" si="24"/>
        <v>0</v>
      </c>
      <c r="G776" s="80">
        <f t="shared" si="25"/>
        <v>0</v>
      </c>
      <c r="H776" s="81"/>
      <c r="I776" s="81"/>
      <c r="J776" s="82"/>
    </row>
    <row r="777" spans="1:10" hidden="1" outlineLevel="3" x14ac:dyDescent="0.35">
      <c r="A777" s="78">
        <v>5</v>
      </c>
      <c r="B777" s="78" t="s">
        <v>385</v>
      </c>
      <c r="C777" s="78" t="s">
        <v>1045</v>
      </c>
      <c r="D777" s="79"/>
      <c r="E777" s="87"/>
      <c r="F777" s="80">
        <f t="shared" si="24"/>
        <v>0</v>
      </c>
      <c r="G777" s="80">
        <f t="shared" si="25"/>
        <v>0</v>
      </c>
      <c r="H777" s="81"/>
      <c r="I777" s="81"/>
      <c r="J777" s="82"/>
    </row>
    <row r="778" spans="1:10" hidden="1" outlineLevel="3" x14ac:dyDescent="0.35">
      <c r="A778" s="78">
        <v>5</v>
      </c>
      <c r="B778" s="78" t="s">
        <v>385</v>
      </c>
      <c r="C778" s="78" t="s">
        <v>1046</v>
      </c>
      <c r="D778" s="79"/>
      <c r="E778" s="87"/>
      <c r="F778" s="80">
        <f t="shared" si="24"/>
        <v>0</v>
      </c>
      <c r="G778" s="80">
        <f t="shared" si="25"/>
        <v>0</v>
      </c>
      <c r="H778" s="81"/>
      <c r="I778" s="81"/>
      <c r="J778" s="82"/>
    </row>
    <row r="779" spans="1:10" hidden="1" outlineLevel="3" x14ac:dyDescent="0.35">
      <c r="A779" s="78">
        <v>5</v>
      </c>
      <c r="B779" s="78" t="s">
        <v>385</v>
      </c>
      <c r="C779" s="78" t="s">
        <v>1047</v>
      </c>
      <c r="D779" s="79"/>
      <c r="E779" s="87"/>
      <c r="F779" s="80">
        <f t="shared" si="24"/>
        <v>0</v>
      </c>
      <c r="G779" s="80">
        <f t="shared" si="25"/>
        <v>0</v>
      </c>
      <c r="H779" s="81"/>
      <c r="I779" s="81"/>
      <c r="J779" s="82"/>
    </row>
    <row r="780" spans="1:10" hidden="1" outlineLevel="3" x14ac:dyDescent="0.35">
      <c r="A780" s="78">
        <v>5</v>
      </c>
      <c r="B780" s="78" t="s">
        <v>385</v>
      </c>
      <c r="C780" s="78" t="s">
        <v>1048</v>
      </c>
      <c r="D780" s="79"/>
      <c r="E780" s="87"/>
      <c r="F780" s="80">
        <f t="shared" si="24"/>
        <v>0</v>
      </c>
      <c r="G780" s="80">
        <f t="shared" si="25"/>
        <v>0</v>
      </c>
      <c r="H780" s="81"/>
      <c r="I780" s="81"/>
      <c r="J780" s="82"/>
    </row>
    <row r="781" spans="1:10" hidden="1" outlineLevel="2" collapsed="1" x14ac:dyDescent="0.35">
      <c r="A781" s="74">
        <v>4</v>
      </c>
      <c r="B781" s="74" t="s">
        <v>392</v>
      </c>
      <c r="C781" s="74" t="s">
        <v>1049</v>
      </c>
      <c r="D781" s="75" t="s">
        <v>414</v>
      </c>
      <c r="E781" s="86" t="str">
        <f>IFERROR(SUBTOTAL(1,E782:E789),"")</f>
        <v/>
      </c>
      <c r="F781" s="74">
        <f t="shared" si="24"/>
        <v>0</v>
      </c>
      <c r="G781" s="74">
        <f t="shared" si="25"/>
        <v>0</v>
      </c>
      <c r="H781" s="76">
        <f>MIN(H782:H789)</f>
        <v>0</v>
      </c>
      <c r="I781" s="76">
        <f>MAX(I782:I789)</f>
        <v>0</v>
      </c>
      <c r="J781" s="77"/>
    </row>
    <row r="782" spans="1:10" hidden="1" outlineLevel="3" x14ac:dyDescent="0.35">
      <c r="A782" s="78">
        <v>5</v>
      </c>
      <c r="B782" s="78" t="s">
        <v>385</v>
      </c>
      <c r="C782" s="78" t="s">
        <v>1050</v>
      </c>
      <c r="D782" s="79" t="s">
        <v>35</v>
      </c>
      <c r="E782" s="87"/>
      <c r="F782" s="80">
        <f t="shared" si="24"/>
        <v>0</v>
      </c>
      <c r="G782" s="80">
        <f t="shared" si="25"/>
        <v>0</v>
      </c>
      <c r="H782" s="81"/>
      <c r="I782" s="81"/>
      <c r="J782" s="82"/>
    </row>
    <row r="783" spans="1:10" hidden="1" outlineLevel="3" x14ac:dyDescent="0.35">
      <c r="A783" s="78">
        <v>5</v>
      </c>
      <c r="B783" s="78" t="s">
        <v>385</v>
      </c>
      <c r="C783" s="78" t="s">
        <v>1051</v>
      </c>
      <c r="D783" s="79" t="s">
        <v>335</v>
      </c>
      <c r="E783" s="87"/>
      <c r="F783" s="80">
        <f t="shared" si="24"/>
        <v>0</v>
      </c>
      <c r="G783" s="80">
        <f t="shared" si="25"/>
        <v>0</v>
      </c>
      <c r="H783" s="81"/>
      <c r="I783" s="81"/>
      <c r="J783" s="82"/>
    </row>
    <row r="784" spans="1:10" hidden="1" outlineLevel="3" x14ac:dyDescent="0.35">
      <c r="A784" s="78">
        <v>5</v>
      </c>
      <c r="B784" s="78" t="s">
        <v>385</v>
      </c>
      <c r="C784" s="78" t="s">
        <v>1052</v>
      </c>
      <c r="D784" s="79"/>
      <c r="E784" s="87"/>
      <c r="F784" s="80">
        <f t="shared" si="24"/>
        <v>0</v>
      </c>
      <c r="G784" s="80">
        <f t="shared" si="25"/>
        <v>0</v>
      </c>
      <c r="H784" s="81"/>
      <c r="I784" s="81"/>
      <c r="J784" s="82"/>
    </row>
    <row r="785" spans="1:10" hidden="1" outlineLevel="3" x14ac:dyDescent="0.35">
      <c r="A785" s="78">
        <v>5</v>
      </c>
      <c r="B785" s="78" t="s">
        <v>385</v>
      </c>
      <c r="C785" s="78" t="s">
        <v>1053</v>
      </c>
      <c r="D785" s="79"/>
      <c r="E785" s="87"/>
      <c r="F785" s="80">
        <f t="shared" si="24"/>
        <v>0</v>
      </c>
      <c r="G785" s="80">
        <f t="shared" si="25"/>
        <v>0</v>
      </c>
      <c r="H785" s="81"/>
      <c r="I785" s="81"/>
      <c r="J785" s="82"/>
    </row>
    <row r="786" spans="1:10" hidden="1" outlineLevel="3" x14ac:dyDescent="0.35">
      <c r="A786" s="78">
        <v>5</v>
      </c>
      <c r="B786" s="78" t="s">
        <v>385</v>
      </c>
      <c r="C786" s="78" t="s">
        <v>1054</v>
      </c>
      <c r="D786" s="79"/>
      <c r="E786" s="87"/>
      <c r="F786" s="80">
        <f t="shared" si="24"/>
        <v>0</v>
      </c>
      <c r="G786" s="80">
        <f t="shared" si="25"/>
        <v>0</v>
      </c>
      <c r="H786" s="81"/>
      <c r="I786" s="81"/>
      <c r="J786" s="82"/>
    </row>
    <row r="787" spans="1:10" hidden="1" outlineLevel="3" x14ac:dyDescent="0.35">
      <c r="A787" s="78">
        <v>5</v>
      </c>
      <c r="B787" s="78" t="s">
        <v>385</v>
      </c>
      <c r="C787" s="78" t="s">
        <v>1055</v>
      </c>
      <c r="D787" s="79"/>
      <c r="E787" s="87"/>
      <c r="F787" s="80">
        <f t="shared" si="24"/>
        <v>0</v>
      </c>
      <c r="G787" s="80">
        <f t="shared" si="25"/>
        <v>0</v>
      </c>
      <c r="H787" s="81"/>
      <c r="I787" s="81"/>
      <c r="J787" s="82"/>
    </row>
    <row r="788" spans="1:10" hidden="1" outlineLevel="3" x14ac:dyDescent="0.35">
      <c r="A788" s="78">
        <v>5</v>
      </c>
      <c r="B788" s="78" t="s">
        <v>385</v>
      </c>
      <c r="C788" s="78" t="s">
        <v>1056</v>
      </c>
      <c r="D788" s="79"/>
      <c r="E788" s="87"/>
      <c r="F788" s="80">
        <f t="shared" si="24"/>
        <v>0</v>
      </c>
      <c r="G788" s="80">
        <f t="shared" si="25"/>
        <v>0</v>
      </c>
      <c r="H788" s="81"/>
      <c r="I788" s="81"/>
      <c r="J788" s="82"/>
    </row>
    <row r="789" spans="1:10" hidden="1" outlineLevel="3" x14ac:dyDescent="0.35">
      <c r="A789" s="78">
        <v>5</v>
      </c>
      <c r="B789" s="78" t="s">
        <v>385</v>
      </c>
      <c r="C789" s="78" t="s">
        <v>1057</v>
      </c>
      <c r="D789" s="79"/>
      <c r="E789" s="87"/>
      <c r="F789" s="80">
        <f t="shared" si="24"/>
        <v>0</v>
      </c>
      <c r="G789" s="80">
        <f t="shared" si="25"/>
        <v>0</v>
      </c>
      <c r="H789" s="81"/>
      <c r="I789" s="81"/>
      <c r="J789" s="82"/>
    </row>
    <row r="790" spans="1:10" hidden="1" outlineLevel="2" collapsed="1" x14ac:dyDescent="0.35">
      <c r="A790" s="74">
        <v>4</v>
      </c>
      <c r="B790" s="74" t="s">
        <v>392</v>
      </c>
      <c r="C790" s="74" t="s">
        <v>1058</v>
      </c>
      <c r="D790" s="75" t="s">
        <v>424</v>
      </c>
      <c r="E790" s="86" t="str">
        <f>IFERROR(SUBTOTAL(1,E791:E798),"")</f>
        <v/>
      </c>
      <c r="F790" s="74">
        <f t="shared" si="24"/>
        <v>0</v>
      </c>
      <c r="G790" s="74">
        <f t="shared" si="25"/>
        <v>0</v>
      </c>
      <c r="H790" s="76">
        <f>MIN(H791:H798)</f>
        <v>0</v>
      </c>
      <c r="I790" s="76">
        <f>MAX(I791:I798)</f>
        <v>0</v>
      </c>
      <c r="J790" s="77"/>
    </row>
    <row r="791" spans="1:10" hidden="1" outlineLevel="3" x14ac:dyDescent="0.35">
      <c r="A791" s="78">
        <v>5</v>
      </c>
      <c r="B791" s="78" t="s">
        <v>385</v>
      </c>
      <c r="C791" s="78" t="s">
        <v>1059</v>
      </c>
      <c r="D791" s="79"/>
      <c r="E791" s="87"/>
      <c r="F791" s="80">
        <f t="shared" si="24"/>
        <v>0</v>
      </c>
      <c r="G791" s="80">
        <f t="shared" si="25"/>
        <v>0</v>
      </c>
      <c r="H791" s="81"/>
      <c r="I791" s="81"/>
      <c r="J791" s="82"/>
    </row>
    <row r="792" spans="1:10" hidden="1" outlineLevel="3" x14ac:dyDescent="0.35">
      <c r="A792" s="78">
        <v>5</v>
      </c>
      <c r="B792" s="78" t="s">
        <v>385</v>
      </c>
      <c r="C792" s="78" t="s">
        <v>1060</v>
      </c>
      <c r="D792" s="79"/>
      <c r="E792" s="87"/>
      <c r="F792" s="80">
        <f t="shared" si="24"/>
        <v>0</v>
      </c>
      <c r="G792" s="80">
        <f t="shared" si="25"/>
        <v>0</v>
      </c>
      <c r="H792" s="81"/>
      <c r="I792" s="81"/>
      <c r="J792" s="82"/>
    </row>
    <row r="793" spans="1:10" hidden="1" outlineLevel="3" x14ac:dyDescent="0.35">
      <c r="A793" s="78">
        <v>5</v>
      </c>
      <c r="B793" s="78" t="s">
        <v>385</v>
      </c>
      <c r="C793" s="78" t="s">
        <v>1061</v>
      </c>
      <c r="D793" s="79"/>
      <c r="E793" s="87"/>
      <c r="F793" s="80">
        <f t="shared" si="24"/>
        <v>0</v>
      </c>
      <c r="G793" s="80">
        <f t="shared" si="25"/>
        <v>0</v>
      </c>
      <c r="H793" s="81"/>
      <c r="I793" s="81"/>
      <c r="J793" s="82"/>
    </row>
    <row r="794" spans="1:10" hidden="1" outlineLevel="3" x14ac:dyDescent="0.35">
      <c r="A794" s="78">
        <v>5</v>
      </c>
      <c r="B794" s="78" t="s">
        <v>385</v>
      </c>
      <c r="C794" s="78" t="s">
        <v>1062</v>
      </c>
      <c r="D794" s="79"/>
      <c r="E794" s="87"/>
      <c r="F794" s="80">
        <f t="shared" si="24"/>
        <v>0</v>
      </c>
      <c r="G794" s="80">
        <f t="shared" si="25"/>
        <v>0</v>
      </c>
      <c r="H794" s="81"/>
      <c r="I794" s="81"/>
      <c r="J794" s="82"/>
    </row>
    <row r="795" spans="1:10" hidden="1" outlineLevel="3" x14ac:dyDescent="0.35">
      <c r="A795" s="78">
        <v>5</v>
      </c>
      <c r="B795" s="78" t="s">
        <v>385</v>
      </c>
      <c r="C795" s="78" t="s">
        <v>1063</v>
      </c>
      <c r="D795" s="79"/>
      <c r="E795" s="87"/>
      <c r="F795" s="80">
        <f t="shared" si="24"/>
        <v>0</v>
      </c>
      <c r="G795" s="80">
        <f t="shared" si="25"/>
        <v>0</v>
      </c>
      <c r="H795" s="81"/>
      <c r="I795" s="81"/>
      <c r="J795" s="82"/>
    </row>
    <row r="796" spans="1:10" hidden="1" outlineLevel="3" x14ac:dyDescent="0.35">
      <c r="A796" s="78">
        <v>5</v>
      </c>
      <c r="B796" s="78" t="s">
        <v>385</v>
      </c>
      <c r="C796" s="78" t="s">
        <v>1064</v>
      </c>
      <c r="D796" s="79"/>
      <c r="E796" s="87"/>
      <c r="F796" s="80">
        <f t="shared" si="24"/>
        <v>0</v>
      </c>
      <c r="G796" s="80">
        <f t="shared" si="25"/>
        <v>0</v>
      </c>
      <c r="H796" s="81"/>
      <c r="I796" s="81"/>
      <c r="J796" s="82"/>
    </row>
    <row r="797" spans="1:10" hidden="1" outlineLevel="3" x14ac:dyDescent="0.35">
      <c r="A797" s="78">
        <v>5</v>
      </c>
      <c r="B797" s="78" t="s">
        <v>385</v>
      </c>
      <c r="C797" s="78" t="s">
        <v>1065</v>
      </c>
      <c r="D797" s="79"/>
      <c r="E797" s="87"/>
      <c r="F797" s="80">
        <f t="shared" si="24"/>
        <v>0</v>
      </c>
      <c r="G797" s="80">
        <f t="shared" si="25"/>
        <v>0</v>
      </c>
      <c r="H797" s="81"/>
      <c r="I797" s="81"/>
      <c r="J797" s="82"/>
    </row>
    <row r="798" spans="1:10" hidden="1" outlineLevel="3" x14ac:dyDescent="0.35">
      <c r="A798" s="78">
        <v>5</v>
      </c>
      <c r="B798" s="78" t="s">
        <v>385</v>
      </c>
      <c r="C798" s="78" t="s">
        <v>1066</v>
      </c>
      <c r="D798" s="79"/>
      <c r="E798" s="87"/>
      <c r="F798" s="80">
        <f t="shared" si="24"/>
        <v>0</v>
      </c>
      <c r="G798" s="80">
        <f t="shared" si="25"/>
        <v>0</v>
      </c>
      <c r="H798" s="81"/>
      <c r="I798" s="81"/>
      <c r="J798" s="82"/>
    </row>
    <row r="799" spans="1:10" hidden="1" outlineLevel="2" collapsed="1" x14ac:dyDescent="0.35">
      <c r="A799" s="74">
        <v>4</v>
      </c>
      <c r="B799" s="74" t="s">
        <v>392</v>
      </c>
      <c r="C799" s="74" t="s">
        <v>1067</v>
      </c>
      <c r="D799" s="75" t="s">
        <v>434</v>
      </c>
      <c r="E799" s="86" t="str">
        <f>IFERROR(SUBTOTAL(1,E800:E811),"")</f>
        <v/>
      </c>
      <c r="F799" s="74">
        <f t="shared" si="24"/>
        <v>0</v>
      </c>
      <c r="G799" s="74">
        <f t="shared" si="25"/>
        <v>0</v>
      </c>
      <c r="H799" s="76">
        <f>MIN(H800:H811)</f>
        <v>0</v>
      </c>
      <c r="I799" s="76">
        <f>MAX(I800:I811)</f>
        <v>0</v>
      </c>
      <c r="J799" s="77"/>
    </row>
    <row r="800" spans="1:10" hidden="1" outlineLevel="3" x14ac:dyDescent="0.35">
      <c r="A800" s="78">
        <v>5</v>
      </c>
      <c r="B800" s="78" t="s">
        <v>385</v>
      </c>
      <c r="C800" s="78" t="s">
        <v>1068</v>
      </c>
      <c r="D800" s="79" t="s">
        <v>73</v>
      </c>
      <c r="E800" s="87"/>
      <c r="F800" s="80">
        <f t="shared" si="24"/>
        <v>0</v>
      </c>
      <c r="G800" s="80">
        <f t="shared" si="25"/>
        <v>0</v>
      </c>
      <c r="H800" s="81"/>
      <c r="I800" s="81"/>
      <c r="J800" s="82"/>
    </row>
    <row r="801" spans="1:10" hidden="1" outlineLevel="3" x14ac:dyDescent="0.35">
      <c r="A801" s="78">
        <v>5</v>
      </c>
      <c r="B801" s="78" t="s">
        <v>385</v>
      </c>
      <c r="C801" s="78" t="s">
        <v>1069</v>
      </c>
      <c r="D801" s="79" t="s">
        <v>74</v>
      </c>
      <c r="E801" s="87"/>
      <c r="F801" s="80">
        <f t="shared" si="24"/>
        <v>0</v>
      </c>
      <c r="G801" s="80">
        <f t="shared" si="25"/>
        <v>0</v>
      </c>
      <c r="H801" s="81"/>
      <c r="I801" s="81"/>
      <c r="J801" s="82"/>
    </row>
    <row r="802" spans="1:10" hidden="1" outlineLevel="3" x14ac:dyDescent="0.35">
      <c r="A802" s="78">
        <v>5</v>
      </c>
      <c r="B802" s="78" t="s">
        <v>385</v>
      </c>
      <c r="C802" s="78" t="s">
        <v>1070</v>
      </c>
      <c r="D802" s="79" t="s">
        <v>73</v>
      </c>
      <c r="E802" s="87"/>
      <c r="F802" s="80">
        <f t="shared" si="24"/>
        <v>0</v>
      </c>
      <c r="G802" s="80">
        <f t="shared" si="25"/>
        <v>0</v>
      </c>
      <c r="H802" s="81"/>
      <c r="I802" s="81"/>
      <c r="J802" s="82"/>
    </row>
    <row r="803" spans="1:10" hidden="1" outlineLevel="3" x14ac:dyDescent="0.35">
      <c r="A803" s="78">
        <v>5</v>
      </c>
      <c r="B803" s="78" t="s">
        <v>385</v>
      </c>
      <c r="C803" s="78" t="s">
        <v>1071</v>
      </c>
      <c r="D803" s="79" t="s">
        <v>74</v>
      </c>
      <c r="E803" s="87"/>
      <c r="F803" s="80">
        <f t="shared" si="24"/>
        <v>0</v>
      </c>
      <c r="G803" s="80">
        <f t="shared" si="25"/>
        <v>0</v>
      </c>
      <c r="H803" s="81"/>
      <c r="I803" s="81"/>
      <c r="J803" s="82"/>
    </row>
    <row r="804" spans="1:10" hidden="1" outlineLevel="3" x14ac:dyDescent="0.35">
      <c r="A804" s="78">
        <v>5</v>
      </c>
      <c r="B804" s="78" t="s">
        <v>385</v>
      </c>
      <c r="C804" s="78" t="s">
        <v>1072</v>
      </c>
      <c r="D804" s="79" t="s">
        <v>73</v>
      </c>
      <c r="E804" s="87"/>
      <c r="F804" s="80">
        <f t="shared" si="24"/>
        <v>0</v>
      </c>
      <c r="G804" s="80">
        <f t="shared" si="25"/>
        <v>0</v>
      </c>
      <c r="H804" s="81"/>
      <c r="I804" s="81"/>
      <c r="J804" s="82"/>
    </row>
    <row r="805" spans="1:10" hidden="1" outlineLevel="3" x14ac:dyDescent="0.35">
      <c r="A805" s="78">
        <v>5</v>
      </c>
      <c r="B805" s="78" t="s">
        <v>385</v>
      </c>
      <c r="C805" s="78" t="s">
        <v>1073</v>
      </c>
      <c r="D805" s="79" t="s">
        <v>74</v>
      </c>
      <c r="E805" s="87"/>
      <c r="F805" s="80">
        <f t="shared" si="24"/>
        <v>0</v>
      </c>
      <c r="G805" s="80">
        <f t="shared" si="25"/>
        <v>0</v>
      </c>
      <c r="H805" s="81"/>
      <c r="I805" s="81"/>
      <c r="J805" s="82"/>
    </row>
    <row r="806" spans="1:10" hidden="1" outlineLevel="3" x14ac:dyDescent="0.35">
      <c r="A806" s="78">
        <v>5</v>
      </c>
      <c r="B806" s="78" t="s">
        <v>385</v>
      </c>
      <c r="C806" s="78" t="s">
        <v>1074</v>
      </c>
      <c r="D806" s="79" t="s">
        <v>73</v>
      </c>
      <c r="E806" s="87"/>
      <c r="F806" s="80">
        <f t="shared" si="24"/>
        <v>0</v>
      </c>
      <c r="G806" s="80">
        <f t="shared" si="25"/>
        <v>0</v>
      </c>
      <c r="H806" s="81"/>
      <c r="I806" s="81"/>
      <c r="J806" s="82"/>
    </row>
    <row r="807" spans="1:10" hidden="1" outlineLevel="3" x14ac:dyDescent="0.35">
      <c r="A807" s="78">
        <v>5</v>
      </c>
      <c r="B807" s="78" t="s">
        <v>385</v>
      </c>
      <c r="C807" s="78" t="s">
        <v>1075</v>
      </c>
      <c r="D807" s="79" t="s">
        <v>74</v>
      </c>
      <c r="E807" s="87"/>
      <c r="F807" s="80">
        <f t="shared" si="24"/>
        <v>0</v>
      </c>
      <c r="G807" s="80">
        <f t="shared" si="25"/>
        <v>0</v>
      </c>
      <c r="H807" s="81"/>
      <c r="I807" s="81"/>
      <c r="J807" s="82"/>
    </row>
    <row r="808" spans="1:10" hidden="1" outlineLevel="3" x14ac:dyDescent="0.35">
      <c r="A808" s="78">
        <v>5</v>
      </c>
      <c r="B808" s="78" t="s">
        <v>385</v>
      </c>
      <c r="C808" s="78" t="s">
        <v>1669</v>
      </c>
      <c r="D808" s="79" t="s">
        <v>73</v>
      </c>
      <c r="E808" s="87"/>
      <c r="F808" s="80">
        <f t="shared" si="24"/>
        <v>0</v>
      </c>
      <c r="G808" s="80">
        <f t="shared" si="25"/>
        <v>0</v>
      </c>
      <c r="H808" s="81"/>
      <c r="I808" s="81"/>
      <c r="J808" s="82"/>
    </row>
    <row r="809" spans="1:10" hidden="1" outlineLevel="3" x14ac:dyDescent="0.35">
      <c r="A809" s="78">
        <v>5</v>
      </c>
      <c r="B809" s="78" t="s">
        <v>385</v>
      </c>
      <c r="C809" s="78" t="s">
        <v>1670</v>
      </c>
      <c r="D809" s="79" t="s">
        <v>74</v>
      </c>
      <c r="E809" s="87"/>
      <c r="F809" s="80">
        <f t="shared" si="24"/>
        <v>0</v>
      </c>
      <c r="G809" s="80">
        <f t="shared" si="25"/>
        <v>0</v>
      </c>
      <c r="H809" s="81"/>
      <c r="I809" s="81"/>
      <c r="J809" s="82"/>
    </row>
    <row r="810" spans="1:10" hidden="1" outlineLevel="3" x14ac:dyDescent="0.35">
      <c r="A810" s="78">
        <v>5</v>
      </c>
      <c r="B810" s="78" t="s">
        <v>385</v>
      </c>
      <c r="C810" s="78" t="s">
        <v>1671</v>
      </c>
      <c r="D810" s="79" t="s">
        <v>73</v>
      </c>
      <c r="E810" s="87"/>
      <c r="F810" s="80">
        <f t="shared" si="24"/>
        <v>0</v>
      </c>
      <c r="G810" s="80">
        <f t="shared" si="25"/>
        <v>0</v>
      </c>
      <c r="H810" s="81"/>
      <c r="I810" s="81"/>
      <c r="J810" s="82"/>
    </row>
    <row r="811" spans="1:10" hidden="1" outlineLevel="3" x14ac:dyDescent="0.35">
      <c r="A811" s="78">
        <v>5</v>
      </c>
      <c r="B811" s="78" t="s">
        <v>385</v>
      </c>
      <c r="C811" s="78" t="s">
        <v>1672</v>
      </c>
      <c r="D811" s="79" t="s">
        <v>74</v>
      </c>
      <c r="E811" s="87"/>
      <c r="F811" s="80">
        <f t="shared" si="24"/>
        <v>0</v>
      </c>
      <c r="G811" s="80">
        <f t="shared" si="25"/>
        <v>0</v>
      </c>
      <c r="H811" s="81"/>
      <c r="I811" s="81"/>
      <c r="J811" s="82"/>
    </row>
    <row r="812" spans="1:10" hidden="1" outlineLevel="2" collapsed="1" x14ac:dyDescent="0.35">
      <c r="A812" s="74">
        <v>4</v>
      </c>
      <c r="B812" s="74" t="s">
        <v>392</v>
      </c>
      <c r="C812" s="74" t="s">
        <v>1076</v>
      </c>
      <c r="D812" s="75" t="s">
        <v>444</v>
      </c>
      <c r="E812" s="86" t="str">
        <f>IFERROR(SUBTOTAL(1,E813:E820),"")</f>
        <v/>
      </c>
      <c r="F812" s="74">
        <f t="shared" si="24"/>
        <v>0</v>
      </c>
      <c r="G812" s="74">
        <f t="shared" si="25"/>
        <v>0</v>
      </c>
      <c r="H812" s="76">
        <f>MIN(H813:H820)</f>
        <v>0</v>
      </c>
      <c r="I812" s="76">
        <f>MAX(I813:I820)</f>
        <v>0</v>
      </c>
      <c r="J812" s="77"/>
    </row>
    <row r="813" spans="1:10" hidden="1" outlineLevel="3" x14ac:dyDescent="0.35">
      <c r="A813" s="78">
        <v>5</v>
      </c>
      <c r="B813" s="78" t="s">
        <v>385</v>
      </c>
      <c r="C813" s="78" t="s">
        <v>1446</v>
      </c>
      <c r="D813" s="79"/>
      <c r="E813" s="87"/>
      <c r="F813" s="80">
        <f t="shared" si="24"/>
        <v>0</v>
      </c>
      <c r="G813" s="80">
        <f t="shared" si="25"/>
        <v>0</v>
      </c>
      <c r="H813" s="81"/>
      <c r="I813" s="81"/>
      <c r="J813" s="82"/>
    </row>
    <row r="814" spans="1:10" hidden="1" outlineLevel="3" x14ac:dyDescent="0.35">
      <c r="A814" s="78">
        <v>5</v>
      </c>
      <c r="B814" s="78" t="s">
        <v>385</v>
      </c>
      <c r="C814" s="78" t="s">
        <v>1447</v>
      </c>
      <c r="D814" s="79"/>
      <c r="E814" s="87"/>
      <c r="F814" s="80">
        <f t="shared" si="24"/>
        <v>0</v>
      </c>
      <c r="G814" s="80">
        <f t="shared" si="25"/>
        <v>0</v>
      </c>
      <c r="H814" s="81"/>
      <c r="I814" s="81"/>
      <c r="J814" s="82"/>
    </row>
    <row r="815" spans="1:10" hidden="1" outlineLevel="3" x14ac:dyDescent="0.35">
      <c r="A815" s="78">
        <v>5</v>
      </c>
      <c r="B815" s="78" t="s">
        <v>385</v>
      </c>
      <c r="C815" s="78" t="s">
        <v>1448</v>
      </c>
      <c r="D815" s="79"/>
      <c r="E815" s="87"/>
      <c r="F815" s="80">
        <f t="shared" si="24"/>
        <v>0</v>
      </c>
      <c r="G815" s="80">
        <f t="shared" si="25"/>
        <v>0</v>
      </c>
      <c r="H815" s="81"/>
      <c r="I815" s="81"/>
      <c r="J815" s="82"/>
    </row>
    <row r="816" spans="1:10" hidden="1" outlineLevel="3" x14ac:dyDescent="0.35">
      <c r="A816" s="78">
        <v>5</v>
      </c>
      <c r="B816" s="78" t="s">
        <v>385</v>
      </c>
      <c r="C816" s="78" t="s">
        <v>1449</v>
      </c>
      <c r="D816" s="79"/>
      <c r="E816" s="87"/>
      <c r="F816" s="80">
        <f t="shared" si="24"/>
        <v>0</v>
      </c>
      <c r="G816" s="80">
        <f t="shared" si="25"/>
        <v>0</v>
      </c>
      <c r="H816" s="81"/>
      <c r="I816" s="81"/>
      <c r="J816" s="82"/>
    </row>
    <row r="817" spans="1:10" hidden="1" outlineLevel="3" x14ac:dyDescent="0.35">
      <c r="A817" s="78">
        <v>5</v>
      </c>
      <c r="B817" s="78" t="s">
        <v>385</v>
      </c>
      <c r="C817" s="78" t="s">
        <v>1450</v>
      </c>
      <c r="D817" s="79"/>
      <c r="E817" s="87"/>
      <c r="F817" s="80">
        <f t="shared" si="24"/>
        <v>0</v>
      </c>
      <c r="G817" s="80">
        <f t="shared" si="25"/>
        <v>0</v>
      </c>
      <c r="H817" s="81"/>
      <c r="I817" s="81"/>
      <c r="J817" s="82"/>
    </row>
    <row r="818" spans="1:10" hidden="1" outlineLevel="3" x14ac:dyDescent="0.35">
      <c r="A818" s="78">
        <v>5</v>
      </c>
      <c r="B818" s="78" t="s">
        <v>385</v>
      </c>
      <c r="C818" s="78" t="s">
        <v>1451</v>
      </c>
      <c r="D818" s="79"/>
      <c r="E818" s="87"/>
      <c r="F818" s="80">
        <f t="shared" si="24"/>
        <v>0</v>
      </c>
      <c r="G818" s="80">
        <f t="shared" si="25"/>
        <v>0</v>
      </c>
      <c r="H818" s="81"/>
      <c r="I818" s="81"/>
      <c r="J818" s="82"/>
    </row>
    <row r="819" spans="1:10" hidden="1" outlineLevel="3" x14ac:dyDescent="0.35">
      <c r="A819" s="78">
        <v>5</v>
      </c>
      <c r="B819" s="78" t="s">
        <v>385</v>
      </c>
      <c r="C819" s="78" t="s">
        <v>1452</v>
      </c>
      <c r="D819" s="79"/>
      <c r="E819" s="87"/>
      <c r="F819" s="80">
        <f t="shared" si="24"/>
        <v>0</v>
      </c>
      <c r="G819" s="80">
        <f t="shared" si="25"/>
        <v>0</v>
      </c>
      <c r="H819" s="81"/>
      <c r="I819" s="81"/>
      <c r="J819" s="82"/>
    </row>
    <row r="820" spans="1:10" hidden="1" outlineLevel="3" x14ac:dyDescent="0.35">
      <c r="A820" s="78">
        <v>5</v>
      </c>
      <c r="B820" s="78" t="s">
        <v>385</v>
      </c>
      <c r="C820" s="78" t="s">
        <v>1453</v>
      </c>
      <c r="D820" s="79"/>
      <c r="E820" s="87"/>
      <c r="F820" s="80">
        <f t="shared" si="24"/>
        <v>0</v>
      </c>
      <c r="G820" s="80">
        <f t="shared" si="25"/>
        <v>0</v>
      </c>
      <c r="H820" s="81"/>
      <c r="I820" s="81"/>
      <c r="J820" s="82"/>
    </row>
    <row r="821" spans="1:10" outlineLevel="1" collapsed="1" x14ac:dyDescent="0.35">
      <c r="A821" s="67">
        <v>3</v>
      </c>
      <c r="B821" s="67" t="s">
        <v>298</v>
      </c>
      <c r="C821" s="67" t="s">
        <v>1077</v>
      </c>
      <c r="D821" s="73" t="s">
        <v>1030</v>
      </c>
      <c r="E821" s="85" t="str">
        <f>IFERROR(AVERAGE(E822,E831,E840,E849,E858,E867),"")</f>
        <v/>
      </c>
      <c r="F821" s="67">
        <f t="shared" si="24"/>
        <v>0</v>
      </c>
      <c r="G821" s="67">
        <f t="shared" si="25"/>
        <v>0</v>
      </c>
      <c r="H821" s="72">
        <f>MIN(H822,H831,H840,H849,H858,H867)</f>
        <v>0</v>
      </c>
      <c r="I821" s="72">
        <f>MAX(I822,I831,I840,I849,I858,I867)</f>
        <v>0</v>
      </c>
      <c r="J821" s="71"/>
    </row>
    <row r="822" spans="1:10" hidden="1" outlineLevel="2" collapsed="1" x14ac:dyDescent="0.35">
      <c r="A822" s="74">
        <v>4</v>
      </c>
      <c r="B822" s="74" t="s">
        <v>392</v>
      </c>
      <c r="C822" s="74" t="s">
        <v>1079</v>
      </c>
      <c r="D822" s="75" t="s">
        <v>394</v>
      </c>
      <c r="E822" s="86" t="str">
        <f>IFERROR(SUBTOTAL(1,E823:E830),"")</f>
        <v/>
      </c>
      <c r="F822" s="74">
        <f t="shared" si="24"/>
        <v>0</v>
      </c>
      <c r="G822" s="74">
        <f t="shared" si="25"/>
        <v>0</v>
      </c>
      <c r="H822" s="76">
        <f>MIN(H823:H830)</f>
        <v>0</v>
      </c>
      <c r="I822" s="76">
        <f>MAX(I823:I830)</f>
        <v>0</v>
      </c>
      <c r="J822" s="77"/>
    </row>
    <row r="823" spans="1:10" hidden="1" outlineLevel="3" x14ac:dyDescent="0.35">
      <c r="A823" s="78">
        <v>5</v>
      </c>
      <c r="B823" s="78" t="s">
        <v>385</v>
      </c>
      <c r="C823" s="78" t="s">
        <v>1080</v>
      </c>
      <c r="D823" s="79" t="s">
        <v>367</v>
      </c>
      <c r="E823" s="87"/>
      <c r="F823" s="80">
        <f t="shared" si="24"/>
        <v>0</v>
      </c>
      <c r="G823" s="80">
        <f t="shared" si="25"/>
        <v>0</v>
      </c>
      <c r="H823" s="81"/>
      <c r="I823" s="81"/>
      <c r="J823" s="82"/>
    </row>
    <row r="824" spans="1:10" hidden="1" outlineLevel="3" x14ac:dyDescent="0.35">
      <c r="A824" s="78">
        <v>5</v>
      </c>
      <c r="B824" s="78" t="s">
        <v>385</v>
      </c>
      <c r="C824" s="78" t="s">
        <v>1081</v>
      </c>
      <c r="D824" s="79" t="s">
        <v>334</v>
      </c>
      <c r="E824" s="87"/>
      <c r="F824" s="80">
        <f t="shared" si="24"/>
        <v>0</v>
      </c>
      <c r="G824" s="80">
        <f t="shared" si="25"/>
        <v>0</v>
      </c>
      <c r="H824" s="81"/>
      <c r="I824" s="81"/>
      <c r="J824" s="82"/>
    </row>
    <row r="825" spans="1:10" hidden="1" outlineLevel="3" x14ac:dyDescent="0.35">
      <c r="A825" s="78">
        <v>5</v>
      </c>
      <c r="B825" s="78" t="s">
        <v>385</v>
      </c>
      <c r="C825" s="78" t="s">
        <v>1082</v>
      </c>
      <c r="D825" s="79" t="s">
        <v>332</v>
      </c>
      <c r="E825" s="87"/>
      <c r="F825" s="80">
        <f t="shared" si="24"/>
        <v>0</v>
      </c>
      <c r="G825" s="80">
        <f t="shared" si="25"/>
        <v>0</v>
      </c>
      <c r="H825" s="81"/>
      <c r="I825" s="81"/>
      <c r="J825" s="82"/>
    </row>
    <row r="826" spans="1:10" hidden="1" outlineLevel="3" x14ac:dyDescent="0.35">
      <c r="A826" s="78">
        <v>5</v>
      </c>
      <c r="B826" s="78" t="s">
        <v>385</v>
      </c>
      <c r="C826" s="78" t="s">
        <v>1083</v>
      </c>
      <c r="D826" s="79" t="s">
        <v>334</v>
      </c>
      <c r="E826" s="87"/>
      <c r="F826" s="80">
        <f t="shared" si="24"/>
        <v>0</v>
      </c>
      <c r="G826" s="80">
        <f t="shared" si="25"/>
        <v>0</v>
      </c>
      <c r="H826" s="81"/>
      <c r="I826" s="81"/>
      <c r="J826" s="82"/>
    </row>
    <row r="827" spans="1:10" hidden="1" outlineLevel="3" x14ac:dyDescent="0.35">
      <c r="A827" s="78">
        <v>5</v>
      </c>
      <c r="B827" s="78" t="s">
        <v>385</v>
      </c>
      <c r="C827" s="78" t="s">
        <v>1084</v>
      </c>
      <c r="D827" s="79" t="s">
        <v>337</v>
      </c>
      <c r="E827" s="87"/>
      <c r="F827" s="80">
        <f t="shared" si="24"/>
        <v>0</v>
      </c>
      <c r="G827" s="80">
        <f t="shared" si="25"/>
        <v>0</v>
      </c>
      <c r="H827" s="81"/>
      <c r="I827" s="81"/>
      <c r="J827" s="82"/>
    </row>
    <row r="828" spans="1:10" hidden="1" outlineLevel="3" x14ac:dyDescent="0.35">
      <c r="A828" s="78">
        <v>5</v>
      </c>
      <c r="B828" s="78" t="s">
        <v>385</v>
      </c>
      <c r="C828" s="78" t="s">
        <v>1085</v>
      </c>
      <c r="D828" s="79"/>
      <c r="E828" s="87"/>
      <c r="F828" s="80">
        <f t="shared" si="24"/>
        <v>0</v>
      </c>
      <c r="G828" s="80">
        <f t="shared" si="25"/>
        <v>0</v>
      </c>
      <c r="H828" s="81"/>
      <c r="I828" s="81"/>
      <c r="J828" s="82"/>
    </row>
    <row r="829" spans="1:10" hidden="1" outlineLevel="3" x14ac:dyDescent="0.35">
      <c r="A829" s="78">
        <v>5</v>
      </c>
      <c r="B829" s="78" t="s">
        <v>385</v>
      </c>
      <c r="C829" s="78" t="s">
        <v>1086</v>
      </c>
      <c r="D829" s="79"/>
      <c r="E829" s="87"/>
      <c r="F829" s="80">
        <f t="shared" si="24"/>
        <v>0</v>
      </c>
      <c r="G829" s="80">
        <f t="shared" si="25"/>
        <v>0</v>
      </c>
      <c r="H829" s="81"/>
      <c r="I829" s="81"/>
      <c r="J829" s="82"/>
    </row>
    <row r="830" spans="1:10" hidden="1" outlineLevel="3" x14ac:dyDescent="0.35">
      <c r="A830" s="78">
        <v>5</v>
      </c>
      <c r="B830" s="78" t="s">
        <v>385</v>
      </c>
      <c r="C830" s="78" t="s">
        <v>1087</v>
      </c>
      <c r="D830" s="79"/>
      <c r="E830" s="87"/>
      <c r="F830" s="80">
        <f t="shared" si="24"/>
        <v>0</v>
      </c>
      <c r="G830" s="80">
        <f t="shared" si="25"/>
        <v>0</v>
      </c>
      <c r="H830" s="81"/>
      <c r="I830" s="81"/>
      <c r="J830" s="82"/>
    </row>
    <row r="831" spans="1:10" hidden="1" outlineLevel="2" collapsed="1" x14ac:dyDescent="0.35">
      <c r="A831" s="74">
        <v>4</v>
      </c>
      <c r="B831" s="74" t="s">
        <v>392</v>
      </c>
      <c r="C831" s="74" t="s">
        <v>1088</v>
      </c>
      <c r="D831" s="75" t="s">
        <v>404</v>
      </c>
      <c r="E831" s="86" t="str">
        <f>IFERROR(SUBTOTAL(1,E832:E839),"")</f>
        <v/>
      </c>
      <c r="F831" s="74">
        <f t="shared" si="24"/>
        <v>0</v>
      </c>
      <c r="G831" s="74">
        <f t="shared" si="25"/>
        <v>0</v>
      </c>
      <c r="H831" s="76">
        <f>MIN(H832:H839)</f>
        <v>0</v>
      </c>
      <c r="I831" s="76">
        <f>MAX(I832:I839)</f>
        <v>0</v>
      </c>
      <c r="J831" s="77"/>
    </row>
    <row r="832" spans="1:10" hidden="1" outlineLevel="3" x14ac:dyDescent="0.35">
      <c r="A832" s="78">
        <v>5</v>
      </c>
      <c r="B832" s="78" t="s">
        <v>385</v>
      </c>
      <c r="C832" s="78" t="s">
        <v>1089</v>
      </c>
      <c r="D832" s="79" t="s">
        <v>336</v>
      </c>
      <c r="E832" s="87"/>
      <c r="F832" s="80">
        <f t="shared" si="24"/>
        <v>0</v>
      </c>
      <c r="G832" s="80">
        <f t="shared" si="25"/>
        <v>0</v>
      </c>
      <c r="H832" s="81"/>
      <c r="I832" s="81"/>
      <c r="J832" s="82"/>
    </row>
    <row r="833" spans="1:10" hidden="1" outlineLevel="3" x14ac:dyDescent="0.35">
      <c r="A833" s="78">
        <v>5</v>
      </c>
      <c r="B833" s="78" t="s">
        <v>385</v>
      </c>
      <c r="C833" s="78" t="s">
        <v>1090</v>
      </c>
      <c r="D833" s="79" t="s">
        <v>333</v>
      </c>
      <c r="E833" s="87"/>
      <c r="F833" s="80">
        <f t="shared" si="24"/>
        <v>0</v>
      </c>
      <c r="G833" s="80">
        <f t="shared" si="25"/>
        <v>0</v>
      </c>
      <c r="H833" s="81"/>
      <c r="I833" s="81"/>
      <c r="J833" s="82"/>
    </row>
    <row r="834" spans="1:10" hidden="1" outlineLevel="3" x14ac:dyDescent="0.35">
      <c r="A834" s="78">
        <v>5</v>
      </c>
      <c r="B834" s="78" t="s">
        <v>385</v>
      </c>
      <c r="C834" s="78" t="s">
        <v>1091</v>
      </c>
      <c r="D834" s="79" t="s">
        <v>336</v>
      </c>
      <c r="E834" s="87"/>
      <c r="F834" s="80">
        <f t="shared" si="24"/>
        <v>0</v>
      </c>
      <c r="G834" s="80">
        <f t="shared" si="25"/>
        <v>0</v>
      </c>
      <c r="H834" s="81"/>
      <c r="I834" s="81"/>
      <c r="J834" s="82"/>
    </row>
    <row r="835" spans="1:10" hidden="1" outlineLevel="3" x14ac:dyDescent="0.35">
      <c r="A835" s="78">
        <v>5</v>
      </c>
      <c r="B835" s="78" t="s">
        <v>385</v>
      </c>
      <c r="C835" s="78" t="s">
        <v>1092</v>
      </c>
      <c r="D835" s="79"/>
      <c r="E835" s="87"/>
      <c r="F835" s="80">
        <f t="shared" si="24"/>
        <v>0</v>
      </c>
      <c r="G835" s="80">
        <f t="shared" si="25"/>
        <v>0</v>
      </c>
      <c r="H835" s="81"/>
      <c r="I835" s="81"/>
      <c r="J835" s="82"/>
    </row>
    <row r="836" spans="1:10" hidden="1" outlineLevel="3" x14ac:dyDescent="0.35">
      <c r="A836" s="78">
        <v>5</v>
      </c>
      <c r="B836" s="78" t="s">
        <v>385</v>
      </c>
      <c r="C836" s="78" t="s">
        <v>1093</v>
      </c>
      <c r="D836" s="79"/>
      <c r="E836" s="87"/>
      <c r="F836" s="80">
        <f t="shared" si="24"/>
        <v>0</v>
      </c>
      <c r="G836" s="80">
        <f t="shared" si="25"/>
        <v>0</v>
      </c>
      <c r="H836" s="81"/>
      <c r="I836" s="81"/>
      <c r="J836" s="82"/>
    </row>
    <row r="837" spans="1:10" hidden="1" outlineLevel="3" x14ac:dyDescent="0.35">
      <c r="A837" s="78">
        <v>5</v>
      </c>
      <c r="B837" s="78" t="s">
        <v>385</v>
      </c>
      <c r="C837" s="78" t="s">
        <v>1094</v>
      </c>
      <c r="D837" s="79"/>
      <c r="E837" s="87"/>
      <c r="F837" s="80">
        <f t="shared" si="24"/>
        <v>0</v>
      </c>
      <c r="G837" s="80">
        <f t="shared" si="25"/>
        <v>0</v>
      </c>
      <c r="H837" s="81"/>
      <c r="I837" s="81"/>
      <c r="J837" s="82"/>
    </row>
    <row r="838" spans="1:10" hidden="1" outlineLevel="3" x14ac:dyDescent="0.35">
      <c r="A838" s="78">
        <v>5</v>
      </c>
      <c r="B838" s="78" t="s">
        <v>385</v>
      </c>
      <c r="C838" s="78" t="s">
        <v>1095</v>
      </c>
      <c r="D838" s="79"/>
      <c r="E838" s="87"/>
      <c r="F838" s="80">
        <f t="shared" ref="F838:F901" si="26">IFERROR(DATEDIF(H838,I838,"D"),0)</f>
        <v>0</v>
      </c>
      <c r="G838" s="80">
        <f t="shared" ref="G838:G901" si="27">IFERROR(NETWORKDAYS.INTL(H838,I838),0)</f>
        <v>0</v>
      </c>
      <c r="H838" s="81"/>
      <c r="I838" s="81"/>
      <c r="J838" s="82"/>
    </row>
    <row r="839" spans="1:10" hidden="1" outlineLevel="3" x14ac:dyDescent="0.35">
      <c r="A839" s="78">
        <v>5</v>
      </c>
      <c r="B839" s="78" t="s">
        <v>385</v>
      </c>
      <c r="C839" s="78" t="s">
        <v>1096</v>
      </c>
      <c r="D839" s="79"/>
      <c r="E839" s="87"/>
      <c r="F839" s="80">
        <f t="shared" si="26"/>
        <v>0</v>
      </c>
      <c r="G839" s="80">
        <f t="shared" si="27"/>
        <v>0</v>
      </c>
      <c r="H839" s="81"/>
      <c r="I839" s="81"/>
      <c r="J839" s="82"/>
    </row>
    <row r="840" spans="1:10" hidden="1" outlineLevel="2" collapsed="1" x14ac:dyDescent="0.35">
      <c r="A840" s="74">
        <v>4</v>
      </c>
      <c r="B840" s="74" t="s">
        <v>392</v>
      </c>
      <c r="C840" s="74" t="s">
        <v>1097</v>
      </c>
      <c r="D840" s="75" t="s">
        <v>414</v>
      </c>
      <c r="E840" s="86" t="str">
        <f>IFERROR(SUBTOTAL(1,E841:E848),"")</f>
        <v/>
      </c>
      <c r="F840" s="74">
        <f t="shared" si="26"/>
        <v>0</v>
      </c>
      <c r="G840" s="74">
        <f t="shared" si="27"/>
        <v>0</v>
      </c>
      <c r="H840" s="76">
        <f>MIN(H841:H848)</f>
        <v>0</v>
      </c>
      <c r="I840" s="76">
        <f>MAX(I841:I848)</f>
        <v>0</v>
      </c>
      <c r="J840" s="77"/>
    </row>
    <row r="841" spans="1:10" hidden="1" outlineLevel="3" x14ac:dyDescent="0.35">
      <c r="A841" s="78">
        <v>5</v>
      </c>
      <c r="B841" s="78" t="s">
        <v>385</v>
      </c>
      <c r="C841" s="78" t="s">
        <v>1098</v>
      </c>
      <c r="D841" s="79" t="s">
        <v>335</v>
      </c>
      <c r="E841" s="87"/>
      <c r="F841" s="80">
        <f t="shared" si="26"/>
        <v>0</v>
      </c>
      <c r="G841" s="80">
        <f t="shared" si="27"/>
        <v>0</v>
      </c>
      <c r="H841" s="81"/>
      <c r="I841" s="81"/>
      <c r="J841" s="82"/>
    </row>
    <row r="842" spans="1:10" hidden="1" outlineLevel="3" x14ac:dyDescent="0.35">
      <c r="A842" s="78">
        <v>5</v>
      </c>
      <c r="B842" s="78" t="s">
        <v>385</v>
      </c>
      <c r="C842" s="78" t="s">
        <v>1099</v>
      </c>
      <c r="D842" s="79" t="s">
        <v>335</v>
      </c>
      <c r="E842" s="87"/>
      <c r="F842" s="80">
        <f t="shared" si="26"/>
        <v>0</v>
      </c>
      <c r="G842" s="80">
        <f t="shared" si="27"/>
        <v>0</v>
      </c>
      <c r="H842" s="81"/>
      <c r="I842" s="81"/>
      <c r="J842" s="82"/>
    </row>
    <row r="843" spans="1:10" hidden="1" outlineLevel="3" x14ac:dyDescent="0.35">
      <c r="A843" s="78">
        <v>5</v>
      </c>
      <c r="B843" s="78" t="s">
        <v>385</v>
      </c>
      <c r="C843" s="78" t="s">
        <v>1100</v>
      </c>
      <c r="D843" s="79"/>
      <c r="E843" s="87"/>
      <c r="F843" s="80">
        <f t="shared" si="26"/>
        <v>0</v>
      </c>
      <c r="G843" s="80">
        <f t="shared" si="27"/>
        <v>0</v>
      </c>
      <c r="H843" s="81"/>
      <c r="I843" s="81"/>
      <c r="J843" s="82"/>
    </row>
    <row r="844" spans="1:10" hidden="1" outlineLevel="3" x14ac:dyDescent="0.35">
      <c r="A844" s="78">
        <v>5</v>
      </c>
      <c r="B844" s="78" t="s">
        <v>385</v>
      </c>
      <c r="C844" s="78" t="s">
        <v>1101</v>
      </c>
      <c r="D844" s="79"/>
      <c r="E844" s="87"/>
      <c r="F844" s="80">
        <f t="shared" si="26"/>
        <v>0</v>
      </c>
      <c r="G844" s="80">
        <f t="shared" si="27"/>
        <v>0</v>
      </c>
      <c r="H844" s="81"/>
      <c r="I844" s="81"/>
      <c r="J844" s="82"/>
    </row>
    <row r="845" spans="1:10" hidden="1" outlineLevel="3" x14ac:dyDescent="0.35">
      <c r="A845" s="78">
        <v>5</v>
      </c>
      <c r="B845" s="78" t="s">
        <v>385</v>
      </c>
      <c r="C845" s="78" t="s">
        <v>1102</v>
      </c>
      <c r="D845" s="79"/>
      <c r="E845" s="87"/>
      <c r="F845" s="80">
        <f t="shared" si="26"/>
        <v>0</v>
      </c>
      <c r="G845" s="80">
        <f t="shared" si="27"/>
        <v>0</v>
      </c>
      <c r="H845" s="81"/>
      <c r="I845" s="81"/>
      <c r="J845" s="82"/>
    </row>
    <row r="846" spans="1:10" hidden="1" outlineLevel="3" x14ac:dyDescent="0.35">
      <c r="A846" s="78">
        <v>5</v>
      </c>
      <c r="B846" s="78" t="s">
        <v>385</v>
      </c>
      <c r="C846" s="78" t="s">
        <v>1103</v>
      </c>
      <c r="D846" s="79"/>
      <c r="E846" s="87"/>
      <c r="F846" s="80">
        <f t="shared" si="26"/>
        <v>0</v>
      </c>
      <c r="G846" s="80">
        <f t="shared" si="27"/>
        <v>0</v>
      </c>
      <c r="H846" s="81"/>
      <c r="I846" s="81"/>
      <c r="J846" s="82"/>
    </row>
    <row r="847" spans="1:10" hidden="1" outlineLevel="3" x14ac:dyDescent="0.35">
      <c r="A847" s="78">
        <v>5</v>
      </c>
      <c r="B847" s="78" t="s">
        <v>385</v>
      </c>
      <c r="C847" s="78" t="s">
        <v>1104</v>
      </c>
      <c r="D847" s="79"/>
      <c r="E847" s="87"/>
      <c r="F847" s="80">
        <f t="shared" si="26"/>
        <v>0</v>
      </c>
      <c r="G847" s="80">
        <f t="shared" si="27"/>
        <v>0</v>
      </c>
      <c r="H847" s="81"/>
      <c r="I847" s="81"/>
      <c r="J847" s="82"/>
    </row>
    <row r="848" spans="1:10" hidden="1" outlineLevel="3" x14ac:dyDescent="0.35">
      <c r="A848" s="78">
        <v>5</v>
      </c>
      <c r="B848" s="78" t="s">
        <v>385</v>
      </c>
      <c r="C848" s="78" t="s">
        <v>1105</v>
      </c>
      <c r="D848" s="79"/>
      <c r="E848" s="87"/>
      <c r="F848" s="80">
        <f t="shared" si="26"/>
        <v>0</v>
      </c>
      <c r="G848" s="80">
        <f t="shared" si="27"/>
        <v>0</v>
      </c>
      <c r="H848" s="81"/>
      <c r="I848" s="81"/>
      <c r="J848" s="82"/>
    </row>
    <row r="849" spans="1:10" hidden="1" outlineLevel="2" collapsed="1" x14ac:dyDescent="0.35">
      <c r="A849" s="74">
        <v>4</v>
      </c>
      <c r="B849" s="74" t="s">
        <v>392</v>
      </c>
      <c r="C849" s="74" t="s">
        <v>1106</v>
      </c>
      <c r="D849" s="75" t="s">
        <v>424</v>
      </c>
      <c r="E849" s="86" t="str">
        <f>IFERROR(SUBTOTAL(1,E850:E857),"")</f>
        <v/>
      </c>
      <c r="F849" s="74">
        <f t="shared" si="26"/>
        <v>0</v>
      </c>
      <c r="G849" s="74">
        <f t="shared" si="27"/>
        <v>0</v>
      </c>
      <c r="H849" s="76">
        <f>MIN(H850:H857)</f>
        <v>0</v>
      </c>
      <c r="I849" s="76">
        <f>MAX(I850:I857)</f>
        <v>0</v>
      </c>
      <c r="J849" s="77"/>
    </row>
    <row r="850" spans="1:10" hidden="1" outlineLevel="3" x14ac:dyDescent="0.35">
      <c r="A850" s="78">
        <v>5</v>
      </c>
      <c r="B850" s="78" t="s">
        <v>385</v>
      </c>
      <c r="C850" s="78" t="s">
        <v>1107</v>
      </c>
      <c r="D850" s="79"/>
      <c r="E850" s="87"/>
      <c r="F850" s="80">
        <f t="shared" si="26"/>
        <v>0</v>
      </c>
      <c r="G850" s="80">
        <f t="shared" si="27"/>
        <v>0</v>
      </c>
      <c r="H850" s="81"/>
      <c r="I850" s="81"/>
      <c r="J850" s="82"/>
    </row>
    <row r="851" spans="1:10" hidden="1" outlineLevel="3" x14ac:dyDescent="0.35">
      <c r="A851" s="78">
        <v>5</v>
      </c>
      <c r="B851" s="78" t="s">
        <v>385</v>
      </c>
      <c r="C851" s="78" t="s">
        <v>1108</v>
      </c>
      <c r="D851" s="79"/>
      <c r="E851" s="87"/>
      <c r="F851" s="80">
        <f t="shared" si="26"/>
        <v>0</v>
      </c>
      <c r="G851" s="80">
        <f t="shared" si="27"/>
        <v>0</v>
      </c>
      <c r="H851" s="81"/>
      <c r="I851" s="81"/>
      <c r="J851" s="82"/>
    </row>
    <row r="852" spans="1:10" hidden="1" outlineLevel="3" x14ac:dyDescent="0.35">
      <c r="A852" s="78">
        <v>5</v>
      </c>
      <c r="B852" s="78" t="s">
        <v>385</v>
      </c>
      <c r="C852" s="78" t="s">
        <v>1109</v>
      </c>
      <c r="D852" s="79"/>
      <c r="E852" s="87"/>
      <c r="F852" s="80">
        <f t="shared" si="26"/>
        <v>0</v>
      </c>
      <c r="G852" s="80">
        <f t="shared" si="27"/>
        <v>0</v>
      </c>
      <c r="H852" s="81"/>
      <c r="I852" s="81"/>
      <c r="J852" s="82"/>
    </row>
    <row r="853" spans="1:10" hidden="1" outlineLevel="3" x14ac:dyDescent="0.35">
      <c r="A853" s="78">
        <v>5</v>
      </c>
      <c r="B853" s="78" t="s">
        <v>385</v>
      </c>
      <c r="C853" s="78" t="s">
        <v>1110</v>
      </c>
      <c r="D853" s="79"/>
      <c r="E853" s="87"/>
      <c r="F853" s="80">
        <f t="shared" si="26"/>
        <v>0</v>
      </c>
      <c r="G853" s="80">
        <f t="shared" si="27"/>
        <v>0</v>
      </c>
      <c r="H853" s="81"/>
      <c r="I853" s="81"/>
      <c r="J853" s="82"/>
    </row>
    <row r="854" spans="1:10" hidden="1" outlineLevel="3" x14ac:dyDescent="0.35">
      <c r="A854" s="78">
        <v>5</v>
      </c>
      <c r="B854" s="78" t="s">
        <v>385</v>
      </c>
      <c r="C854" s="78" t="s">
        <v>1111</v>
      </c>
      <c r="D854" s="79"/>
      <c r="E854" s="87"/>
      <c r="F854" s="80">
        <f t="shared" si="26"/>
        <v>0</v>
      </c>
      <c r="G854" s="80">
        <f t="shared" si="27"/>
        <v>0</v>
      </c>
      <c r="H854" s="81"/>
      <c r="I854" s="81"/>
      <c r="J854" s="82"/>
    </row>
    <row r="855" spans="1:10" hidden="1" outlineLevel="3" x14ac:dyDescent="0.35">
      <c r="A855" s="78">
        <v>5</v>
      </c>
      <c r="B855" s="78" t="s">
        <v>385</v>
      </c>
      <c r="C855" s="78" t="s">
        <v>1112</v>
      </c>
      <c r="D855" s="79"/>
      <c r="E855" s="87"/>
      <c r="F855" s="80">
        <f t="shared" si="26"/>
        <v>0</v>
      </c>
      <c r="G855" s="80">
        <f t="shared" si="27"/>
        <v>0</v>
      </c>
      <c r="H855" s="81"/>
      <c r="I855" s="81"/>
      <c r="J855" s="82"/>
    </row>
    <row r="856" spans="1:10" hidden="1" outlineLevel="3" x14ac:dyDescent="0.35">
      <c r="A856" s="78">
        <v>5</v>
      </c>
      <c r="B856" s="78" t="s">
        <v>385</v>
      </c>
      <c r="C856" s="78" t="s">
        <v>1113</v>
      </c>
      <c r="D856" s="79"/>
      <c r="E856" s="87"/>
      <c r="F856" s="80">
        <f t="shared" si="26"/>
        <v>0</v>
      </c>
      <c r="G856" s="80">
        <f t="shared" si="27"/>
        <v>0</v>
      </c>
      <c r="H856" s="81"/>
      <c r="I856" s="81"/>
      <c r="J856" s="82"/>
    </row>
    <row r="857" spans="1:10" hidden="1" outlineLevel="3" x14ac:dyDescent="0.35">
      <c r="A857" s="78">
        <v>5</v>
      </c>
      <c r="B857" s="78" t="s">
        <v>385</v>
      </c>
      <c r="C857" s="78" t="s">
        <v>1114</v>
      </c>
      <c r="D857" s="79"/>
      <c r="E857" s="87"/>
      <c r="F857" s="80">
        <f t="shared" si="26"/>
        <v>0</v>
      </c>
      <c r="G857" s="80">
        <f t="shared" si="27"/>
        <v>0</v>
      </c>
      <c r="H857" s="81"/>
      <c r="I857" s="81"/>
      <c r="J857" s="82"/>
    </row>
    <row r="858" spans="1:10" hidden="1" outlineLevel="2" collapsed="1" x14ac:dyDescent="0.35">
      <c r="A858" s="74">
        <v>4</v>
      </c>
      <c r="B858" s="74" t="s">
        <v>392</v>
      </c>
      <c r="C858" s="74" t="s">
        <v>1115</v>
      </c>
      <c r="D858" s="75" t="s">
        <v>434</v>
      </c>
      <c r="E858" s="86" t="str">
        <f>IFERROR(SUBTOTAL(1,E859:E866),"")</f>
        <v/>
      </c>
      <c r="F858" s="74">
        <f t="shared" si="26"/>
        <v>0</v>
      </c>
      <c r="G858" s="74">
        <f t="shared" si="27"/>
        <v>0</v>
      </c>
      <c r="H858" s="76">
        <f>MIN(H859:H866)</f>
        <v>0</v>
      </c>
      <c r="I858" s="76">
        <f>MAX(I859:I866)</f>
        <v>0</v>
      </c>
      <c r="J858" s="77"/>
    </row>
    <row r="859" spans="1:10" hidden="1" outlineLevel="3" x14ac:dyDescent="0.35">
      <c r="A859" s="78">
        <v>5</v>
      </c>
      <c r="B859" s="78" t="s">
        <v>385</v>
      </c>
      <c r="C859" s="78" t="s">
        <v>1116</v>
      </c>
      <c r="D859" s="79"/>
      <c r="E859" s="87"/>
      <c r="F859" s="80">
        <f t="shared" si="26"/>
        <v>0</v>
      </c>
      <c r="G859" s="80">
        <f t="shared" si="27"/>
        <v>0</v>
      </c>
      <c r="H859" s="81"/>
      <c r="I859" s="81"/>
      <c r="J859" s="82"/>
    </row>
    <row r="860" spans="1:10" hidden="1" outlineLevel="3" x14ac:dyDescent="0.35">
      <c r="A860" s="78">
        <v>5</v>
      </c>
      <c r="B860" s="78" t="s">
        <v>385</v>
      </c>
      <c r="C860" s="78" t="s">
        <v>1117</v>
      </c>
      <c r="D860" s="79"/>
      <c r="E860" s="87"/>
      <c r="F860" s="80">
        <f t="shared" si="26"/>
        <v>0</v>
      </c>
      <c r="G860" s="80">
        <f t="shared" si="27"/>
        <v>0</v>
      </c>
      <c r="H860" s="81"/>
      <c r="I860" s="81"/>
      <c r="J860" s="82"/>
    </row>
    <row r="861" spans="1:10" hidden="1" outlineLevel="3" x14ac:dyDescent="0.35">
      <c r="A861" s="78">
        <v>5</v>
      </c>
      <c r="B861" s="78" t="s">
        <v>385</v>
      </c>
      <c r="C861" s="78" t="s">
        <v>1118</v>
      </c>
      <c r="D861" s="79"/>
      <c r="E861" s="87"/>
      <c r="F861" s="80">
        <f t="shared" si="26"/>
        <v>0</v>
      </c>
      <c r="G861" s="80">
        <f t="shared" si="27"/>
        <v>0</v>
      </c>
      <c r="H861" s="81"/>
      <c r="I861" s="81"/>
      <c r="J861" s="82"/>
    </row>
    <row r="862" spans="1:10" hidden="1" outlineLevel="3" x14ac:dyDescent="0.35">
      <c r="A862" s="78">
        <v>5</v>
      </c>
      <c r="B862" s="78" t="s">
        <v>385</v>
      </c>
      <c r="C862" s="78" t="s">
        <v>1119</v>
      </c>
      <c r="D862" s="79"/>
      <c r="E862" s="87"/>
      <c r="F862" s="80">
        <f t="shared" si="26"/>
        <v>0</v>
      </c>
      <c r="G862" s="80">
        <f t="shared" si="27"/>
        <v>0</v>
      </c>
      <c r="H862" s="81"/>
      <c r="I862" s="81"/>
      <c r="J862" s="82"/>
    </row>
    <row r="863" spans="1:10" hidden="1" outlineLevel="3" x14ac:dyDescent="0.35">
      <c r="A863" s="78">
        <v>5</v>
      </c>
      <c r="B863" s="78" t="s">
        <v>385</v>
      </c>
      <c r="C863" s="78" t="s">
        <v>1120</v>
      </c>
      <c r="D863" s="79"/>
      <c r="E863" s="87"/>
      <c r="F863" s="80">
        <f t="shared" si="26"/>
        <v>0</v>
      </c>
      <c r="G863" s="80">
        <f t="shared" si="27"/>
        <v>0</v>
      </c>
      <c r="H863" s="81"/>
      <c r="I863" s="81"/>
      <c r="J863" s="82"/>
    </row>
    <row r="864" spans="1:10" hidden="1" outlineLevel="3" x14ac:dyDescent="0.35">
      <c r="A864" s="78">
        <v>5</v>
      </c>
      <c r="B864" s="78" t="s">
        <v>385</v>
      </c>
      <c r="C864" s="78" t="s">
        <v>1121</v>
      </c>
      <c r="D864" s="79"/>
      <c r="E864" s="87"/>
      <c r="F864" s="80">
        <f t="shared" si="26"/>
        <v>0</v>
      </c>
      <c r="G864" s="80">
        <f t="shared" si="27"/>
        <v>0</v>
      </c>
      <c r="H864" s="81"/>
      <c r="I864" s="81"/>
      <c r="J864" s="82"/>
    </row>
    <row r="865" spans="1:10" hidden="1" outlineLevel="3" x14ac:dyDescent="0.35">
      <c r="A865" s="78">
        <v>5</v>
      </c>
      <c r="B865" s="78" t="s">
        <v>385</v>
      </c>
      <c r="C865" s="78" t="s">
        <v>1122</v>
      </c>
      <c r="D865" s="79"/>
      <c r="E865" s="87"/>
      <c r="F865" s="80">
        <f t="shared" si="26"/>
        <v>0</v>
      </c>
      <c r="G865" s="80">
        <f t="shared" si="27"/>
        <v>0</v>
      </c>
      <c r="H865" s="81"/>
      <c r="I865" s="81"/>
      <c r="J865" s="82"/>
    </row>
    <row r="866" spans="1:10" hidden="1" outlineLevel="3" x14ac:dyDescent="0.35">
      <c r="A866" s="78">
        <v>5</v>
      </c>
      <c r="B866" s="78" t="s">
        <v>385</v>
      </c>
      <c r="C866" s="78" t="s">
        <v>1123</v>
      </c>
      <c r="D866" s="79"/>
      <c r="E866" s="87"/>
      <c r="F866" s="80">
        <f t="shared" si="26"/>
        <v>0</v>
      </c>
      <c r="G866" s="80">
        <f t="shared" si="27"/>
        <v>0</v>
      </c>
      <c r="H866" s="81"/>
      <c r="I866" s="81"/>
      <c r="J866" s="82"/>
    </row>
    <row r="867" spans="1:10" hidden="1" outlineLevel="2" collapsed="1" x14ac:dyDescent="0.35">
      <c r="A867" s="74">
        <v>4</v>
      </c>
      <c r="B867" s="74" t="s">
        <v>392</v>
      </c>
      <c r="C867" s="74" t="s">
        <v>1124</v>
      </c>
      <c r="D867" s="75" t="s">
        <v>444</v>
      </c>
      <c r="E867" s="86" t="str">
        <f>IFERROR(SUBTOTAL(1,E868:E875),"")</f>
        <v/>
      </c>
      <c r="F867" s="74">
        <f t="shared" si="26"/>
        <v>0</v>
      </c>
      <c r="G867" s="74">
        <f t="shared" si="27"/>
        <v>0</v>
      </c>
      <c r="H867" s="76">
        <f>MIN(H868:H875)</f>
        <v>0</v>
      </c>
      <c r="I867" s="76">
        <f>MAX(I868:I875)</f>
        <v>0</v>
      </c>
      <c r="J867" s="77"/>
    </row>
    <row r="868" spans="1:10" hidden="1" outlineLevel="3" x14ac:dyDescent="0.35">
      <c r="A868" s="78">
        <v>5</v>
      </c>
      <c r="B868" s="78" t="s">
        <v>385</v>
      </c>
      <c r="C868" s="78" t="s">
        <v>1454</v>
      </c>
      <c r="D868" s="79"/>
      <c r="E868" s="87"/>
      <c r="F868" s="80">
        <f t="shared" si="26"/>
        <v>0</v>
      </c>
      <c r="G868" s="80">
        <f t="shared" si="27"/>
        <v>0</v>
      </c>
      <c r="H868" s="81"/>
      <c r="I868" s="81"/>
      <c r="J868" s="82"/>
    </row>
    <row r="869" spans="1:10" hidden="1" outlineLevel="3" x14ac:dyDescent="0.35">
      <c r="A869" s="78">
        <v>5</v>
      </c>
      <c r="B869" s="78" t="s">
        <v>385</v>
      </c>
      <c r="C869" s="78" t="s">
        <v>1455</v>
      </c>
      <c r="D869" s="79"/>
      <c r="E869" s="87"/>
      <c r="F869" s="80">
        <f t="shared" si="26"/>
        <v>0</v>
      </c>
      <c r="G869" s="80">
        <f t="shared" si="27"/>
        <v>0</v>
      </c>
      <c r="H869" s="81"/>
      <c r="I869" s="81"/>
      <c r="J869" s="82"/>
    </row>
    <row r="870" spans="1:10" hidden="1" outlineLevel="3" x14ac:dyDescent="0.35">
      <c r="A870" s="78">
        <v>5</v>
      </c>
      <c r="B870" s="78" t="s">
        <v>385</v>
      </c>
      <c r="C870" s="78" t="s">
        <v>1456</v>
      </c>
      <c r="D870" s="79"/>
      <c r="E870" s="87"/>
      <c r="F870" s="80">
        <f t="shared" si="26"/>
        <v>0</v>
      </c>
      <c r="G870" s="80">
        <f t="shared" si="27"/>
        <v>0</v>
      </c>
      <c r="H870" s="81"/>
      <c r="I870" s="81"/>
      <c r="J870" s="82"/>
    </row>
    <row r="871" spans="1:10" hidden="1" outlineLevel="3" x14ac:dyDescent="0.35">
      <c r="A871" s="78">
        <v>5</v>
      </c>
      <c r="B871" s="78" t="s">
        <v>385</v>
      </c>
      <c r="C871" s="78" t="s">
        <v>1457</v>
      </c>
      <c r="D871" s="79"/>
      <c r="E871" s="87"/>
      <c r="F871" s="80">
        <f t="shared" si="26"/>
        <v>0</v>
      </c>
      <c r="G871" s="80">
        <f t="shared" si="27"/>
        <v>0</v>
      </c>
      <c r="H871" s="81"/>
      <c r="I871" s="81"/>
      <c r="J871" s="82"/>
    </row>
    <row r="872" spans="1:10" hidden="1" outlineLevel="3" x14ac:dyDescent="0.35">
      <c r="A872" s="78">
        <v>5</v>
      </c>
      <c r="B872" s="78" t="s">
        <v>385</v>
      </c>
      <c r="C872" s="78" t="s">
        <v>1458</v>
      </c>
      <c r="D872" s="79"/>
      <c r="E872" s="87"/>
      <c r="F872" s="80">
        <f t="shared" si="26"/>
        <v>0</v>
      </c>
      <c r="G872" s="80">
        <f t="shared" si="27"/>
        <v>0</v>
      </c>
      <c r="H872" s="81"/>
      <c r="I872" s="81"/>
      <c r="J872" s="82"/>
    </row>
    <row r="873" spans="1:10" hidden="1" outlineLevel="3" x14ac:dyDescent="0.35">
      <c r="A873" s="78">
        <v>5</v>
      </c>
      <c r="B873" s="78" t="s">
        <v>385</v>
      </c>
      <c r="C873" s="78" t="s">
        <v>1459</v>
      </c>
      <c r="D873" s="79"/>
      <c r="E873" s="87"/>
      <c r="F873" s="80">
        <f t="shared" si="26"/>
        <v>0</v>
      </c>
      <c r="G873" s="80">
        <f t="shared" si="27"/>
        <v>0</v>
      </c>
      <c r="H873" s="81"/>
      <c r="I873" s="81"/>
      <c r="J873" s="82"/>
    </row>
    <row r="874" spans="1:10" hidden="1" outlineLevel="3" x14ac:dyDescent="0.35">
      <c r="A874" s="78">
        <v>5</v>
      </c>
      <c r="B874" s="78" t="s">
        <v>385</v>
      </c>
      <c r="C874" s="78" t="s">
        <v>1460</v>
      </c>
      <c r="D874" s="79"/>
      <c r="E874" s="87"/>
      <c r="F874" s="80">
        <f t="shared" si="26"/>
        <v>0</v>
      </c>
      <c r="G874" s="80">
        <f t="shared" si="27"/>
        <v>0</v>
      </c>
      <c r="H874" s="81"/>
      <c r="I874" s="81"/>
      <c r="J874" s="82"/>
    </row>
    <row r="875" spans="1:10" hidden="1" outlineLevel="3" x14ac:dyDescent="0.35">
      <c r="A875" s="78">
        <v>5</v>
      </c>
      <c r="B875" s="78" t="s">
        <v>385</v>
      </c>
      <c r="C875" s="78" t="s">
        <v>1461</v>
      </c>
      <c r="D875" s="79"/>
      <c r="E875" s="87"/>
      <c r="F875" s="80">
        <f t="shared" si="26"/>
        <v>0</v>
      </c>
      <c r="G875" s="80">
        <f t="shared" si="27"/>
        <v>0</v>
      </c>
      <c r="H875" s="81"/>
      <c r="I875" s="81"/>
      <c r="J875" s="82"/>
    </row>
    <row r="876" spans="1:10" outlineLevel="1" collapsed="1" x14ac:dyDescent="0.35">
      <c r="A876" s="67">
        <v>3</v>
      </c>
      <c r="B876" s="67" t="s">
        <v>298</v>
      </c>
      <c r="C876" s="67" t="s">
        <v>1125</v>
      </c>
      <c r="D876" s="73" t="s">
        <v>1078</v>
      </c>
      <c r="E876" s="85" t="str">
        <f>IFERROR(AVERAGE(E877,E886,E895,E904,E913,E922),"")</f>
        <v/>
      </c>
      <c r="F876" s="67">
        <f t="shared" si="26"/>
        <v>0</v>
      </c>
      <c r="G876" s="67">
        <f t="shared" si="27"/>
        <v>0</v>
      </c>
      <c r="H876" s="72">
        <f>MIN(H877,H886,H895,H904,H913,H922)</f>
        <v>0</v>
      </c>
      <c r="I876" s="72">
        <f>MAX(I877,I886,I895,I904,I913,I922)</f>
        <v>0</v>
      </c>
      <c r="J876" s="71"/>
    </row>
    <row r="877" spans="1:10" hidden="1" outlineLevel="2" collapsed="1" x14ac:dyDescent="0.35">
      <c r="A877" s="74">
        <v>4</v>
      </c>
      <c r="B877" s="74" t="s">
        <v>392</v>
      </c>
      <c r="C877" s="74" t="s">
        <v>1127</v>
      </c>
      <c r="D877" s="75" t="s">
        <v>394</v>
      </c>
      <c r="E877" s="86" t="str">
        <f>IFERROR(SUBTOTAL(1,E878:E885),"")</f>
        <v/>
      </c>
      <c r="F877" s="74">
        <f t="shared" si="26"/>
        <v>0</v>
      </c>
      <c r="G877" s="74">
        <f t="shared" si="27"/>
        <v>0</v>
      </c>
      <c r="H877" s="76">
        <f>MIN(H878:H885)</f>
        <v>0</v>
      </c>
      <c r="I877" s="76">
        <f>MAX(I878:I885)</f>
        <v>0</v>
      </c>
      <c r="J877" s="77"/>
    </row>
    <row r="878" spans="1:10" hidden="1" outlineLevel="3" x14ac:dyDescent="0.35">
      <c r="A878" s="78">
        <v>5</v>
      </c>
      <c r="B878" s="78" t="s">
        <v>385</v>
      </c>
      <c r="C878" s="78" t="s">
        <v>1128</v>
      </c>
      <c r="D878" s="79" t="s">
        <v>334</v>
      </c>
      <c r="E878" s="87"/>
      <c r="F878" s="80">
        <f t="shared" si="26"/>
        <v>0</v>
      </c>
      <c r="G878" s="80">
        <f t="shared" si="27"/>
        <v>0</v>
      </c>
      <c r="H878" s="81"/>
      <c r="I878" s="81"/>
      <c r="J878" s="82"/>
    </row>
    <row r="879" spans="1:10" hidden="1" outlineLevel="3" x14ac:dyDescent="0.35">
      <c r="A879" s="78">
        <v>5</v>
      </c>
      <c r="B879" s="78" t="s">
        <v>385</v>
      </c>
      <c r="C879" s="78" t="s">
        <v>1129</v>
      </c>
      <c r="D879" s="79" t="s">
        <v>350</v>
      </c>
      <c r="E879" s="87"/>
      <c r="F879" s="80">
        <f t="shared" si="26"/>
        <v>0</v>
      </c>
      <c r="G879" s="80">
        <f t="shared" si="27"/>
        <v>0</v>
      </c>
      <c r="H879" s="81"/>
      <c r="I879" s="81"/>
      <c r="J879" s="82"/>
    </row>
    <row r="880" spans="1:10" hidden="1" outlineLevel="3" x14ac:dyDescent="0.35">
      <c r="A880" s="78">
        <v>5</v>
      </c>
      <c r="B880" s="78" t="s">
        <v>385</v>
      </c>
      <c r="C880" s="78" t="s">
        <v>1130</v>
      </c>
      <c r="D880" s="79"/>
      <c r="E880" s="87"/>
      <c r="F880" s="80">
        <f t="shared" si="26"/>
        <v>0</v>
      </c>
      <c r="G880" s="80">
        <f t="shared" si="27"/>
        <v>0</v>
      </c>
      <c r="H880" s="81"/>
      <c r="I880" s="81"/>
      <c r="J880" s="82"/>
    </row>
    <row r="881" spans="1:10" hidden="1" outlineLevel="3" x14ac:dyDescent="0.35">
      <c r="A881" s="78">
        <v>5</v>
      </c>
      <c r="B881" s="78" t="s">
        <v>385</v>
      </c>
      <c r="C881" s="78" t="s">
        <v>1131</v>
      </c>
      <c r="D881" s="79"/>
      <c r="E881" s="87"/>
      <c r="F881" s="80">
        <f t="shared" si="26"/>
        <v>0</v>
      </c>
      <c r="G881" s="80">
        <f t="shared" si="27"/>
        <v>0</v>
      </c>
      <c r="H881" s="81"/>
      <c r="I881" s="81"/>
      <c r="J881" s="82"/>
    </row>
    <row r="882" spans="1:10" hidden="1" outlineLevel="3" x14ac:dyDescent="0.35">
      <c r="A882" s="78">
        <v>5</v>
      </c>
      <c r="B882" s="78" t="s">
        <v>385</v>
      </c>
      <c r="C882" s="78" t="s">
        <v>1132</v>
      </c>
      <c r="D882" s="79"/>
      <c r="E882" s="87"/>
      <c r="F882" s="80">
        <f t="shared" si="26"/>
        <v>0</v>
      </c>
      <c r="G882" s="80">
        <f t="shared" si="27"/>
        <v>0</v>
      </c>
      <c r="H882" s="81"/>
      <c r="I882" s="81"/>
      <c r="J882" s="82"/>
    </row>
    <row r="883" spans="1:10" hidden="1" outlineLevel="3" x14ac:dyDescent="0.35">
      <c r="A883" s="78">
        <v>5</v>
      </c>
      <c r="B883" s="78" t="s">
        <v>385</v>
      </c>
      <c r="C883" s="78" t="s">
        <v>1133</v>
      </c>
      <c r="D883" s="79"/>
      <c r="E883" s="87"/>
      <c r="F883" s="80">
        <f t="shared" si="26"/>
        <v>0</v>
      </c>
      <c r="G883" s="80">
        <f t="shared" si="27"/>
        <v>0</v>
      </c>
      <c r="H883" s="81"/>
      <c r="I883" s="81"/>
      <c r="J883" s="82"/>
    </row>
    <row r="884" spans="1:10" hidden="1" outlineLevel="3" x14ac:dyDescent="0.35">
      <c r="A884" s="78">
        <v>5</v>
      </c>
      <c r="B884" s="78" t="s">
        <v>385</v>
      </c>
      <c r="C884" s="78" t="s">
        <v>1134</v>
      </c>
      <c r="D884" s="79"/>
      <c r="E884" s="87"/>
      <c r="F884" s="80">
        <f t="shared" si="26"/>
        <v>0</v>
      </c>
      <c r="G884" s="80">
        <f t="shared" si="27"/>
        <v>0</v>
      </c>
      <c r="H884" s="81"/>
      <c r="I884" s="81"/>
      <c r="J884" s="82"/>
    </row>
    <row r="885" spans="1:10" hidden="1" outlineLevel="3" x14ac:dyDescent="0.35">
      <c r="A885" s="78">
        <v>5</v>
      </c>
      <c r="B885" s="78" t="s">
        <v>385</v>
      </c>
      <c r="C885" s="78" t="s">
        <v>1135</v>
      </c>
      <c r="D885" s="79"/>
      <c r="E885" s="87"/>
      <c r="F885" s="80">
        <f t="shared" si="26"/>
        <v>0</v>
      </c>
      <c r="G885" s="80">
        <f t="shared" si="27"/>
        <v>0</v>
      </c>
      <c r="H885" s="81"/>
      <c r="I885" s="81"/>
      <c r="J885" s="82"/>
    </row>
    <row r="886" spans="1:10" hidden="1" outlineLevel="2" collapsed="1" x14ac:dyDescent="0.35">
      <c r="A886" s="74">
        <v>4</v>
      </c>
      <c r="B886" s="74" t="s">
        <v>392</v>
      </c>
      <c r="C886" s="74" t="s">
        <v>1136</v>
      </c>
      <c r="D886" s="75" t="s">
        <v>404</v>
      </c>
      <c r="E886" s="86" t="str">
        <f>IFERROR(SUBTOTAL(1,E887:E894),"")</f>
        <v/>
      </c>
      <c r="F886" s="74">
        <f t="shared" si="26"/>
        <v>0</v>
      </c>
      <c r="G886" s="74">
        <f t="shared" si="27"/>
        <v>0</v>
      </c>
      <c r="H886" s="76">
        <f>MIN(H887:H894)</f>
        <v>0</v>
      </c>
      <c r="I886" s="76">
        <f>MAX(I887:I894)</f>
        <v>0</v>
      </c>
      <c r="J886" s="77"/>
    </row>
    <row r="887" spans="1:10" hidden="1" outlineLevel="3" x14ac:dyDescent="0.35">
      <c r="A887" s="78">
        <v>5</v>
      </c>
      <c r="B887" s="78" t="s">
        <v>385</v>
      </c>
      <c r="C887" s="78" t="s">
        <v>1137</v>
      </c>
      <c r="D887" s="79" t="s">
        <v>336</v>
      </c>
      <c r="E887" s="87"/>
      <c r="F887" s="80">
        <f t="shared" si="26"/>
        <v>0</v>
      </c>
      <c r="G887" s="80">
        <f t="shared" si="27"/>
        <v>0</v>
      </c>
      <c r="H887" s="81"/>
      <c r="I887" s="81"/>
      <c r="J887" s="82"/>
    </row>
    <row r="888" spans="1:10" hidden="1" outlineLevel="3" x14ac:dyDescent="0.35">
      <c r="A888" s="78">
        <v>5</v>
      </c>
      <c r="B888" s="78" t="s">
        <v>385</v>
      </c>
      <c r="C888" s="78" t="s">
        <v>1138</v>
      </c>
      <c r="D888" s="79" t="s">
        <v>351</v>
      </c>
      <c r="E888" s="87"/>
      <c r="F888" s="80">
        <f t="shared" si="26"/>
        <v>0</v>
      </c>
      <c r="G888" s="80">
        <f t="shared" si="27"/>
        <v>0</v>
      </c>
      <c r="H888" s="81"/>
      <c r="I888" s="81"/>
      <c r="J888" s="82"/>
    </row>
    <row r="889" spans="1:10" hidden="1" outlineLevel="3" x14ac:dyDescent="0.35">
      <c r="A889" s="78">
        <v>5</v>
      </c>
      <c r="B889" s="78" t="s">
        <v>385</v>
      </c>
      <c r="C889" s="78" t="s">
        <v>1139</v>
      </c>
      <c r="D889" s="79"/>
      <c r="E889" s="87"/>
      <c r="F889" s="80">
        <f t="shared" si="26"/>
        <v>0</v>
      </c>
      <c r="G889" s="80">
        <f t="shared" si="27"/>
        <v>0</v>
      </c>
      <c r="H889" s="81"/>
      <c r="I889" s="81"/>
      <c r="J889" s="82"/>
    </row>
    <row r="890" spans="1:10" hidden="1" outlineLevel="3" x14ac:dyDescent="0.35">
      <c r="A890" s="78">
        <v>5</v>
      </c>
      <c r="B890" s="78" t="s">
        <v>385</v>
      </c>
      <c r="C890" s="78" t="s">
        <v>1140</v>
      </c>
      <c r="D890" s="79"/>
      <c r="E890" s="87"/>
      <c r="F890" s="80">
        <f t="shared" si="26"/>
        <v>0</v>
      </c>
      <c r="G890" s="80">
        <f t="shared" si="27"/>
        <v>0</v>
      </c>
      <c r="H890" s="81"/>
      <c r="I890" s="81"/>
      <c r="J890" s="82"/>
    </row>
    <row r="891" spans="1:10" hidden="1" outlineLevel="3" x14ac:dyDescent="0.35">
      <c r="A891" s="78">
        <v>5</v>
      </c>
      <c r="B891" s="78" t="s">
        <v>385</v>
      </c>
      <c r="C891" s="78" t="s">
        <v>1141</v>
      </c>
      <c r="D891" s="79"/>
      <c r="E891" s="87"/>
      <c r="F891" s="80">
        <f t="shared" si="26"/>
        <v>0</v>
      </c>
      <c r="G891" s="80">
        <f t="shared" si="27"/>
        <v>0</v>
      </c>
      <c r="H891" s="81"/>
      <c r="I891" s="81"/>
      <c r="J891" s="82"/>
    </row>
    <row r="892" spans="1:10" hidden="1" outlineLevel="3" x14ac:dyDescent="0.35">
      <c r="A892" s="78">
        <v>5</v>
      </c>
      <c r="B892" s="78" t="s">
        <v>385</v>
      </c>
      <c r="C892" s="78" t="s">
        <v>1142</v>
      </c>
      <c r="D892" s="79"/>
      <c r="E892" s="87"/>
      <c r="F892" s="80">
        <f t="shared" si="26"/>
        <v>0</v>
      </c>
      <c r="G892" s="80">
        <f t="shared" si="27"/>
        <v>0</v>
      </c>
      <c r="H892" s="81"/>
      <c r="I892" s="81"/>
      <c r="J892" s="82"/>
    </row>
    <row r="893" spans="1:10" hidden="1" outlineLevel="3" x14ac:dyDescent="0.35">
      <c r="A893" s="78">
        <v>5</v>
      </c>
      <c r="B893" s="78" t="s">
        <v>385</v>
      </c>
      <c r="C893" s="78" t="s">
        <v>1143</v>
      </c>
      <c r="D893" s="79"/>
      <c r="E893" s="87"/>
      <c r="F893" s="80">
        <f t="shared" si="26"/>
        <v>0</v>
      </c>
      <c r="G893" s="80">
        <f t="shared" si="27"/>
        <v>0</v>
      </c>
      <c r="H893" s="81"/>
      <c r="I893" s="81"/>
      <c r="J893" s="82"/>
    </row>
    <row r="894" spans="1:10" hidden="1" outlineLevel="3" x14ac:dyDescent="0.35">
      <c r="A894" s="78">
        <v>5</v>
      </c>
      <c r="B894" s="78" t="s">
        <v>385</v>
      </c>
      <c r="C894" s="78" t="s">
        <v>1144</v>
      </c>
      <c r="D894" s="79"/>
      <c r="E894" s="87"/>
      <c r="F894" s="80">
        <f t="shared" si="26"/>
        <v>0</v>
      </c>
      <c r="G894" s="80">
        <f t="shared" si="27"/>
        <v>0</v>
      </c>
      <c r="H894" s="81"/>
      <c r="I894" s="81"/>
      <c r="J894" s="82"/>
    </row>
    <row r="895" spans="1:10" hidden="1" outlineLevel="2" collapsed="1" x14ac:dyDescent="0.35">
      <c r="A895" s="74">
        <v>4</v>
      </c>
      <c r="B895" s="74" t="s">
        <v>392</v>
      </c>
      <c r="C895" s="74" t="s">
        <v>1145</v>
      </c>
      <c r="D895" s="75" t="s">
        <v>414</v>
      </c>
      <c r="E895" s="86" t="str">
        <f>IFERROR(SUBTOTAL(1,E896:E903),"")</f>
        <v/>
      </c>
      <c r="F895" s="74">
        <f t="shared" si="26"/>
        <v>0</v>
      </c>
      <c r="G895" s="74">
        <f t="shared" si="27"/>
        <v>0</v>
      </c>
      <c r="H895" s="76">
        <f>MIN(H896:H903)</f>
        <v>0</v>
      </c>
      <c r="I895" s="76">
        <f>MAX(I896:I903)</f>
        <v>0</v>
      </c>
      <c r="J895" s="77"/>
    </row>
    <row r="896" spans="1:10" hidden="1" outlineLevel="3" x14ac:dyDescent="0.35">
      <c r="A896" s="78">
        <v>5</v>
      </c>
      <c r="B896" s="78" t="s">
        <v>385</v>
      </c>
      <c r="C896" s="78" t="s">
        <v>1146</v>
      </c>
      <c r="D896" s="79" t="s">
        <v>335</v>
      </c>
      <c r="E896" s="87"/>
      <c r="F896" s="80">
        <f t="shared" si="26"/>
        <v>0</v>
      </c>
      <c r="G896" s="80">
        <f t="shared" si="27"/>
        <v>0</v>
      </c>
      <c r="H896" s="81"/>
      <c r="I896" s="81"/>
      <c r="J896" s="82"/>
    </row>
    <row r="897" spans="1:10" hidden="1" outlineLevel="3" x14ac:dyDescent="0.35">
      <c r="A897" s="78">
        <v>5</v>
      </c>
      <c r="B897" s="78" t="s">
        <v>385</v>
      </c>
      <c r="C897" s="78" t="s">
        <v>1147</v>
      </c>
      <c r="D897" s="79"/>
      <c r="E897" s="87"/>
      <c r="F897" s="80">
        <f t="shared" si="26"/>
        <v>0</v>
      </c>
      <c r="G897" s="80">
        <f t="shared" si="27"/>
        <v>0</v>
      </c>
      <c r="H897" s="81"/>
      <c r="I897" s="81"/>
      <c r="J897" s="82"/>
    </row>
    <row r="898" spans="1:10" hidden="1" outlineLevel="3" x14ac:dyDescent="0.35">
      <c r="A898" s="78">
        <v>5</v>
      </c>
      <c r="B898" s="78" t="s">
        <v>385</v>
      </c>
      <c r="C898" s="78" t="s">
        <v>1148</v>
      </c>
      <c r="D898" s="79"/>
      <c r="E898" s="87"/>
      <c r="F898" s="80">
        <f t="shared" si="26"/>
        <v>0</v>
      </c>
      <c r="G898" s="80">
        <f t="shared" si="27"/>
        <v>0</v>
      </c>
      <c r="H898" s="81"/>
      <c r="I898" s="81"/>
      <c r="J898" s="82"/>
    </row>
    <row r="899" spans="1:10" hidden="1" outlineLevel="3" x14ac:dyDescent="0.35">
      <c r="A899" s="78">
        <v>5</v>
      </c>
      <c r="B899" s="78" t="s">
        <v>385</v>
      </c>
      <c r="C899" s="78" t="s">
        <v>1149</v>
      </c>
      <c r="D899" s="79"/>
      <c r="E899" s="87"/>
      <c r="F899" s="80">
        <f t="shared" si="26"/>
        <v>0</v>
      </c>
      <c r="G899" s="80">
        <f t="shared" si="27"/>
        <v>0</v>
      </c>
      <c r="H899" s="81"/>
      <c r="I899" s="81"/>
      <c r="J899" s="82"/>
    </row>
    <row r="900" spans="1:10" hidden="1" outlineLevel="3" x14ac:dyDescent="0.35">
      <c r="A900" s="78">
        <v>5</v>
      </c>
      <c r="B900" s="78" t="s">
        <v>385</v>
      </c>
      <c r="C900" s="78" t="s">
        <v>1150</v>
      </c>
      <c r="D900" s="79"/>
      <c r="E900" s="87"/>
      <c r="F900" s="80">
        <f t="shared" si="26"/>
        <v>0</v>
      </c>
      <c r="G900" s="80">
        <f t="shared" si="27"/>
        <v>0</v>
      </c>
      <c r="H900" s="81"/>
      <c r="I900" s="81"/>
      <c r="J900" s="82"/>
    </row>
    <row r="901" spans="1:10" hidden="1" outlineLevel="3" x14ac:dyDescent="0.35">
      <c r="A901" s="78">
        <v>5</v>
      </c>
      <c r="B901" s="78" t="s">
        <v>385</v>
      </c>
      <c r="C901" s="78" t="s">
        <v>1151</v>
      </c>
      <c r="D901" s="79"/>
      <c r="E901" s="87"/>
      <c r="F901" s="80">
        <f t="shared" si="26"/>
        <v>0</v>
      </c>
      <c r="G901" s="80">
        <f t="shared" si="27"/>
        <v>0</v>
      </c>
      <c r="H901" s="81"/>
      <c r="I901" s="81"/>
      <c r="J901" s="82"/>
    </row>
    <row r="902" spans="1:10" hidden="1" outlineLevel="3" x14ac:dyDescent="0.35">
      <c r="A902" s="78">
        <v>5</v>
      </c>
      <c r="B902" s="78" t="s">
        <v>385</v>
      </c>
      <c r="C902" s="78" t="s">
        <v>1152</v>
      </c>
      <c r="D902" s="79"/>
      <c r="E902" s="87"/>
      <c r="F902" s="80">
        <f t="shared" ref="F902:F965" si="28">IFERROR(DATEDIF(H902,I902,"D"),0)</f>
        <v>0</v>
      </c>
      <c r="G902" s="80">
        <f t="shared" ref="G902:G965" si="29">IFERROR(NETWORKDAYS.INTL(H902,I902),0)</f>
        <v>0</v>
      </c>
      <c r="H902" s="81"/>
      <c r="I902" s="81"/>
      <c r="J902" s="82"/>
    </row>
    <row r="903" spans="1:10" hidden="1" outlineLevel="3" x14ac:dyDescent="0.35">
      <c r="A903" s="78">
        <v>5</v>
      </c>
      <c r="B903" s="78" t="s">
        <v>385</v>
      </c>
      <c r="C903" s="78" t="s">
        <v>1153</v>
      </c>
      <c r="D903" s="79"/>
      <c r="E903" s="87"/>
      <c r="F903" s="80">
        <f t="shared" si="28"/>
        <v>0</v>
      </c>
      <c r="G903" s="80">
        <f t="shared" si="29"/>
        <v>0</v>
      </c>
      <c r="H903" s="81"/>
      <c r="I903" s="81"/>
      <c r="J903" s="82"/>
    </row>
    <row r="904" spans="1:10" hidden="1" outlineLevel="2" collapsed="1" x14ac:dyDescent="0.35">
      <c r="A904" s="74">
        <v>4</v>
      </c>
      <c r="B904" s="74" t="s">
        <v>392</v>
      </c>
      <c r="C904" s="74" t="s">
        <v>1154</v>
      </c>
      <c r="D904" s="75" t="s">
        <v>424</v>
      </c>
      <c r="E904" s="86" t="str">
        <f>IFERROR(SUBTOTAL(1,E905:E912),"")</f>
        <v/>
      </c>
      <c r="F904" s="74">
        <f t="shared" si="28"/>
        <v>0</v>
      </c>
      <c r="G904" s="74">
        <f t="shared" si="29"/>
        <v>0</v>
      </c>
      <c r="H904" s="76">
        <f>MIN(H905:H912)</f>
        <v>0</v>
      </c>
      <c r="I904" s="76">
        <f>MAX(I905:I912)</f>
        <v>0</v>
      </c>
      <c r="J904" s="77"/>
    </row>
    <row r="905" spans="1:10" hidden="1" outlineLevel="3" x14ac:dyDescent="0.35">
      <c r="A905" s="78">
        <v>5</v>
      </c>
      <c r="B905" s="78" t="s">
        <v>385</v>
      </c>
      <c r="C905" s="78" t="s">
        <v>1155</v>
      </c>
      <c r="D905" s="79"/>
      <c r="E905" s="87"/>
      <c r="F905" s="80">
        <f t="shared" si="28"/>
        <v>0</v>
      </c>
      <c r="G905" s="80">
        <f t="shared" si="29"/>
        <v>0</v>
      </c>
      <c r="H905" s="81"/>
      <c r="I905" s="81"/>
      <c r="J905" s="82"/>
    </row>
    <row r="906" spans="1:10" hidden="1" outlineLevel="3" x14ac:dyDescent="0.35">
      <c r="A906" s="78">
        <v>5</v>
      </c>
      <c r="B906" s="78" t="s">
        <v>385</v>
      </c>
      <c r="C906" s="78" t="s">
        <v>1156</v>
      </c>
      <c r="D906" s="79"/>
      <c r="E906" s="87"/>
      <c r="F906" s="80">
        <f t="shared" si="28"/>
        <v>0</v>
      </c>
      <c r="G906" s="80">
        <f t="shared" si="29"/>
        <v>0</v>
      </c>
      <c r="H906" s="81"/>
      <c r="I906" s="81"/>
      <c r="J906" s="82"/>
    </row>
    <row r="907" spans="1:10" hidden="1" outlineLevel="3" x14ac:dyDescent="0.35">
      <c r="A907" s="78">
        <v>5</v>
      </c>
      <c r="B907" s="78" t="s">
        <v>385</v>
      </c>
      <c r="C907" s="78" t="s">
        <v>1157</v>
      </c>
      <c r="D907" s="79"/>
      <c r="E907" s="87"/>
      <c r="F907" s="80">
        <f t="shared" si="28"/>
        <v>0</v>
      </c>
      <c r="G907" s="80">
        <f t="shared" si="29"/>
        <v>0</v>
      </c>
      <c r="H907" s="81"/>
      <c r="I907" s="81"/>
      <c r="J907" s="82"/>
    </row>
    <row r="908" spans="1:10" hidden="1" outlineLevel="3" x14ac:dyDescent="0.35">
      <c r="A908" s="78">
        <v>5</v>
      </c>
      <c r="B908" s="78" t="s">
        <v>385</v>
      </c>
      <c r="C908" s="78" t="s">
        <v>1158</v>
      </c>
      <c r="D908" s="79"/>
      <c r="E908" s="87"/>
      <c r="F908" s="80">
        <f t="shared" si="28"/>
        <v>0</v>
      </c>
      <c r="G908" s="80">
        <f t="shared" si="29"/>
        <v>0</v>
      </c>
      <c r="H908" s="81"/>
      <c r="I908" s="81"/>
      <c r="J908" s="82"/>
    </row>
    <row r="909" spans="1:10" hidden="1" outlineLevel="3" x14ac:dyDescent="0.35">
      <c r="A909" s="78">
        <v>5</v>
      </c>
      <c r="B909" s="78" t="s">
        <v>385</v>
      </c>
      <c r="C909" s="78" t="s">
        <v>1159</v>
      </c>
      <c r="D909" s="79"/>
      <c r="E909" s="87"/>
      <c r="F909" s="80">
        <f t="shared" si="28"/>
        <v>0</v>
      </c>
      <c r="G909" s="80">
        <f t="shared" si="29"/>
        <v>0</v>
      </c>
      <c r="H909" s="81"/>
      <c r="I909" s="81"/>
      <c r="J909" s="82"/>
    </row>
    <row r="910" spans="1:10" hidden="1" outlineLevel="3" x14ac:dyDescent="0.35">
      <c r="A910" s="78">
        <v>5</v>
      </c>
      <c r="B910" s="78" t="s">
        <v>385</v>
      </c>
      <c r="C910" s="78" t="s">
        <v>1160</v>
      </c>
      <c r="D910" s="79"/>
      <c r="E910" s="87"/>
      <c r="F910" s="80">
        <f t="shared" si="28"/>
        <v>0</v>
      </c>
      <c r="G910" s="80">
        <f t="shared" si="29"/>
        <v>0</v>
      </c>
      <c r="H910" s="81"/>
      <c r="I910" s="81"/>
      <c r="J910" s="82"/>
    </row>
    <row r="911" spans="1:10" hidden="1" outlineLevel="3" x14ac:dyDescent="0.35">
      <c r="A911" s="78">
        <v>5</v>
      </c>
      <c r="B911" s="78" t="s">
        <v>385</v>
      </c>
      <c r="C911" s="78" t="s">
        <v>1161</v>
      </c>
      <c r="D911" s="79"/>
      <c r="E911" s="87"/>
      <c r="F911" s="80">
        <f t="shared" si="28"/>
        <v>0</v>
      </c>
      <c r="G911" s="80">
        <f t="shared" si="29"/>
        <v>0</v>
      </c>
      <c r="H911" s="81"/>
      <c r="I911" s="81"/>
      <c r="J911" s="82"/>
    </row>
    <row r="912" spans="1:10" hidden="1" outlineLevel="3" x14ac:dyDescent="0.35">
      <c r="A912" s="78">
        <v>5</v>
      </c>
      <c r="B912" s="78" t="s">
        <v>385</v>
      </c>
      <c r="C912" s="78" t="s">
        <v>1162</v>
      </c>
      <c r="D912" s="79"/>
      <c r="E912" s="87"/>
      <c r="F912" s="80">
        <f t="shared" si="28"/>
        <v>0</v>
      </c>
      <c r="G912" s="80">
        <f t="shared" si="29"/>
        <v>0</v>
      </c>
      <c r="H912" s="81"/>
      <c r="I912" s="81"/>
      <c r="J912" s="82"/>
    </row>
    <row r="913" spans="1:10" hidden="1" outlineLevel="2" collapsed="1" x14ac:dyDescent="0.35">
      <c r="A913" s="74">
        <v>4</v>
      </c>
      <c r="B913" s="74" t="s">
        <v>392</v>
      </c>
      <c r="C913" s="74" t="s">
        <v>1163</v>
      </c>
      <c r="D913" s="75" t="s">
        <v>434</v>
      </c>
      <c r="E913" s="86" t="str">
        <f>IFERROR(SUBTOTAL(1,E914:E921),"")</f>
        <v/>
      </c>
      <c r="F913" s="74">
        <f t="shared" si="28"/>
        <v>0</v>
      </c>
      <c r="G913" s="74">
        <f t="shared" si="29"/>
        <v>0</v>
      </c>
      <c r="H913" s="76">
        <f>MIN(H914:H921)</f>
        <v>0</v>
      </c>
      <c r="I913" s="76">
        <f>MAX(I914:I921)</f>
        <v>0</v>
      </c>
      <c r="J913" s="77"/>
    </row>
    <row r="914" spans="1:10" hidden="1" outlineLevel="3" x14ac:dyDescent="0.35">
      <c r="A914" s="78">
        <v>5</v>
      </c>
      <c r="B914" s="78" t="s">
        <v>385</v>
      </c>
      <c r="C914" s="78" t="s">
        <v>1164</v>
      </c>
      <c r="D914" s="79"/>
      <c r="E914" s="87"/>
      <c r="F914" s="80">
        <f t="shared" si="28"/>
        <v>0</v>
      </c>
      <c r="G914" s="80">
        <f t="shared" si="29"/>
        <v>0</v>
      </c>
      <c r="H914" s="81"/>
      <c r="I914" s="81"/>
      <c r="J914" s="82"/>
    </row>
    <row r="915" spans="1:10" hidden="1" outlineLevel="3" x14ac:dyDescent="0.35">
      <c r="A915" s="78">
        <v>5</v>
      </c>
      <c r="B915" s="78" t="s">
        <v>385</v>
      </c>
      <c r="C915" s="78" t="s">
        <v>1165</v>
      </c>
      <c r="D915" s="79"/>
      <c r="E915" s="87"/>
      <c r="F915" s="80">
        <f t="shared" si="28"/>
        <v>0</v>
      </c>
      <c r="G915" s="80">
        <f t="shared" si="29"/>
        <v>0</v>
      </c>
      <c r="H915" s="81"/>
      <c r="I915" s="81"/>
      <c r="J915" s="82"/>
    </row>
    <row r="916" spans="1:10" hidden="1" outlineLevel="3" x14ac:dyDescent="0.35">
      <c r="A916" s="78">
        <v>5</v>
      </c>
      <c r="B916" s="78" t="s">
        <v>385</v>
      </c>
      <c r="C916" s="78" t="s">
        <v>1166</v>
      </c>
      <c r="D916" s="79"/>
      <c r="E916" s="87"/>
      <c r="F916" s="80">
        <f t="shared" si="28"/>
        <v>0</v>
      </c>
      <c r="G916" s="80">
        <f t="shared" si="29"/>
        <v>0</v>
      </c>
      <c r="H916" s="81"/>
      <c r="I916" s="81"/>
      <c r="J916" s="82"/>
    </row>
    <row r="917" spans="1:10" hidden="1" outlineLevel="3" x14ac:dyDescent="0.35">
      <c r="A917" s="78">
        <v>5</v>
      </c>
      <c r="B917" s="78" t="s">
        <v>385</v>
      </c>
      <c r="C917" s="78" t="s">
        <v>1167</v>
      </c>
      <c r="D917" s="79"/>
      <c r="E917" s="87"/>
      <c r="F917" s="80">
        <f t="shared" si="28"/>
        <v>0</v>
      </c>
      <c r="G917" s="80">
        <f t="shared" si="29"/>
        <v>0</v>
      </c>
      <c r="H917" s="81"/>
      <c r="I917" s="81"/>
      <c r="J917" s="82"/>
    </row>
    <row r="918" spans="1:10" hidden="1" outlineLevel="3" x14ac:dyDescent="0.35">
      <c r="A918" s="78">
        <v>5</v>
      </c>
      <c r="B918" s="78" t="s">
        <v>385</v>
      </c>
      <c r="C918" s="78" t="s">
        <v>1168</v>
      </c>
      <c r="D918" s="79"/>
      <c r="E918" s="87"/>
      <c r="F918" s="80">
        <f t="shared" si="28"/>
        <v>0</v>
      </c>
      <c r="G918" s="80">
        <f t="shared" si="29"/>
        <v>0</v>
      </c>
      <c r="H918" s="81"/>
      <c r="I918" s="81"/>
      <c r="J918" s="82"/>
    </row>
    <row r="919" spans="1:10" hidden="1" outlineLevel="3" x14ac:dyDescent="0.35">
      <c r="A919" s="78">
        <v>5</v>
      </c>
      <c r="B919" s="78" t="s">
        <v>385</v>
      </c>
      <c r="C919" s="78" t="s">
        <v>1169</v>
      </c>
      <c r="D919" s="79"/>
      <c r="E919" s="87"/>
      <c r="F919" s="80">
        <f t="shared" si="28"/>
        <v>0</v>
      </c>
      <c r="G919" s="80">
        <f t="shared" si="29"/>
        <v>0</v>
      </c>
      <c r="H919" s="81"/>
      <c r="I919" s="81"/>
      <c r="J919" s="82"/>
    </row>
    <row r="920" spans="1:10" hidden="1" outlineLevel="3" x14ac:dyDescent="0.35">
      <c r="A920" s="78">
        <v>5</v>
      </c>
      <c r="B920" s="78" t="s">
        <v>385</v>
      </c>
      <c r="C920" s="78" t="s">
        <v>1170</v>
      </c>
      <c r="D920" s="79"/>
      <c r="E920" s="87"/>
      <c r="F920" s="80">
        <f t="shared" si="28"/>
        <v>0</v>
      </c>
      <c r="G920" s="80">
        <f t="shared" si="29"/>
        <v>0</v>
      </c>
      <c r="H920" s="81"/>
      <c r="I920" s="81"/>
      <c r="J920" s="82"/>
    </row>
    <row r="921" spans="1:10" hidden="1" outlineLevel="3" x14ac:dyDescent="0.35">
      <c r="A921" s="78">
        <v>5</v>
      </c>
      <c r="B921" s="78" t="s">
        <v>385</v>
      </c>
      <c r="C921" s="78" t="s">
        <v>1171</v>
      </c>
      <c r="D921" s="79"/>
      <c r="E921" s="87"/>
      <c r="F921" s="80">
        <f t="shared" si="28"/>
        <v>0</v>
      </c>
      <c r="G921" s="80">
        <f t="shared" si="29"/>
        <v>0</v>
      </c>
      <c r="H921" s="81"/>
      <c r="I921" s="81"/>
      <c r="J921" s="82"/>
    </row>
    <row r="922" spans="1:10" hidden="1" outlineLevel="2" collapsed="1" x14ac:dyDescent="0.35">
      <c r="A922" s="74">
        <v>4</v>
      </c>
      <c r="B922" s="74" t="s">
        <v>392</v>
      </c>
      <c r="C922" s="74" t="s">
        <v>1172</v>
      </c>
      <c r="D922" s="75" t="s">
        <v>444</v>
      </c>
      <c r="E922" s="86" t="str">
        <f>IFERROR(SUBTOTAL(1,E923:E930),"")</f>
        <v/>
      </c>
      <c r="F922" s="74">
        <f t="shared" si="28"/>
        <v>0</v>
      </c>
      <c r="G922" s="74">
        <f t="shared" si="29"/>
        <v>0</v>
      </c>
      <c r="H922" s="76">
        <f>MIN(H923:H930)</f>
        <v>0</v>
      </c>
      <c r="I922" s="76">
        <f>MAX(I923:I930)</f>
        <v>0</v>
      </c>
      <c r="J922" s="77"/>
    </row>
    <row r="923" spans="1:10" hidden="1" outlineLevel="3" x14ac:dyDescent="0.35">
      <c r="A923" s="78">
        <v>5</v>
      </c>
      <c r="B923" s="78" t="s">
        <v>385</v>
      </c>
      <c r="C923" s="78" t="s">
        <v>1462</v>
      </c>
      <c r="D923" s="79"/>
      <c r="E923" s="87"/>
      <c r="F923" s="80">
        <f t="shared" si="28"/>
        <v>0</v>
      </c>
      <c r="G923" s="80">
        <f t="shared" si="29"/>
        <v>0</v>
      </c>
      <c r="H923" s="81"/>
      <c r="I923" s="81"/>
      <c r="J923" s="82"/>
    </row>
    <row r="924" spans="1:10" hidden="1" outlineLevel="3" x14ac:dyDescent="0.35">
      <c r="A924" s="78">
        <v>5</v>
      </c>
      <c r="B924" s="78" t="s">
        <v>385</v>
      </c>
      <c r="C924" s="78" t="s">
        <v>1463</v>
      </c>
      <c r="D924" s="79"/>
      <c r="E924" s="87"/>
      <c r="F924" s="80">
        <f t="shared" si="28"/>
        <v>0</v>
      </c>
      <c r="G924" s="80">
        <f t="shared" si="29"/>
        <v>0</v>
      </c>
      <c r="H924" s="81"/>
      <c r="I924" s="81"/>
      <c r="J924" s="82"/>
    </row>
    <row r="925" spans="1:10" hidden="1" outlineLevel="3" x14ac:dyDescent="0.35">
      <c r="A925" s="78">
        <v>5</v>
      </c>
      <c r="B925" s="78" t="s">
        <v>385</v>
      </c>
      <c r="C925" s="78" t="s">
        <v>1464</v>
      </c>
      <c r="D925" s="79"/>
      <c r="E925" s="87"/>
      <c r="F925" s="80">
        <f t="shared" si="28"/>
        <v>0</v>
      </c>
      <c r="G925" s="80">
        <f t="shared" si="29"/>
        <v>0</v>
      </c>
      <c r="H925" s="81"/>
      <c r="I925" s="81"/>
      <c r="J925" s="82"/>
    </row>
    <row r="926" spans="1:10" hidden="1" outlineLevel="3" x14ac:dyDescent="0.35">
      <c r="A926" s="78">
        <v>5</v>
      </c>
      <c r="B926" s="78" t="s">
        <v>385</v>
      </c>
      <c r="C926" s="78" t="s">
        <v>1465</v>
      </c>
      <c r="D926" s="79"/>
      <c r="E926" s="87"/>
      <c r="F926" s="80">
        <f t="shared" si="28"/>
        <v>0</v>
      </c>
      <c r="G926" s="80">
        <f t="shared" si="29"/>
        <v>0</v>
      </c>
      <c r="H926" s="81"/>
      <c r="I926" s="81"/>
      <c r="J926" s="82"/>
    </row>
    <row r="927" spans="1:10" hidden="1" outlineLevel="3" x14ac:dyDescent="0.35">
      <c r="A927" s="78">
        <v>5</v>
      </c>
      <c r="B927" s="78" t="s">
        <v>385</v>
      </c>
      <c r="C927" s="78" t="s">
        <v>1466</v>
      </c>
      <c r="D927" s="79"/>
      <c r="E927" s="87"/>
      <c r="F927" s="80">
        <f t="shared" si="28"/>
        <v>0</v>
      </c>
      <c r="G927" s="80">
        <f t="shared" si="29"/>
        <v>0</v>
      </c>
      <c r="H927" s="81"/>
      <c r="I927" s="81"/>
      <c r="J927" s="82"/>
    </row>
    <row r="928" spans="1:10" hidden="1" outlineLevel="3" x14ac:dyDescent="0.35">
      <c r="A928" s="78">
        <v>5</v>
      </c>
      <c r="B928" s="78" t="s">
        <v>385</v>
      </c>
      <c r="C928" s="78" t="s">
        <v>1467</v>
      </c>
      <c r="D928" s="79"/>
      <c r="E928" s="87"/>
      <c r="F928" s="80">
        <f t="shared" si="28"/>
        <v>0</v>
      </c>
      <c r="G928" s="80">
        <f t="shared" si="29"/>
        <v>0</v>
      </c>
      <c r="H928" s="81"/>
      <c r="I928" s="81"/>
      <c r="J928" s="82"/>
    </row>
    <row r="929" spans="1:10" hidden="1" outlineLevel="3" x14ac:dyDescent="0.35">
      <c r="A929" s="78">
        <v>5</v>
      </c>
      <c r="B929" s="78" t="s">
        <v>385</v>
      </c>
      <c r="C929" s="78" t="s">
        <v>1468</v>
      </c>
      <c r="D929" s="79"/>
      <c r="E929" s="87"/>
      <c r="F929" s="80">
        <f t="shared" si="28"/>
        <v>0</v>
      </c>
      <c r="G929" s="80">
        <f t="shared" si="29"/>
        <v>0</v>
      </c>
      <c r="H929" s="81"/>
      <c r="I929" s="81"/>
      <c r="J929" s="82"/>
    </row>
    <row r="930" spans="1:10" hidden="1" outlineLevel="3" x14ac:dyDescent="0.35">
      <c r="A930" s="78">
        <v>5</v>
      </c>
      <c r="B930" s="78" t="s">
        <v>385</v>
      </c>
      <c r="C930" s="78" t="s">
        <v>1469</v>
      </c>
      <c r="D930" s="79"/>
      <c r="E930" s="87"/>
      <c r="F930" s="80">
        <f t="shared" si="28"/>
        <v>0</v>
      </c>
      <c r="G930" s="80">
        <f t="shared" si="29"/>
        <v>0</v>
      </c>
      <c r="H930" s="81"/>
      <c r="I930" s="81"/>
      <c r="J930" s="82"/>
    </row>
    <row r="931" spans="1:10" outlineLevel="1" collapsed="1" x14ac:dyDescent="0.35">
      <c r="A931" s="67">
        <v>3</v>
      </c>
      <c r="B931" s="67" t="s">
        <v>298</v>
      </c>
      <c r="C931" s="67" t="s">
        <v>1173</v>
      </c>
      <c r="D931" s="73" t="s">
        <v>1126</v>
      </c>
      <c r="E931" s="85" t="str">
        <f>IFERROR(AVERAGE(E932,E941,E950,E959,E968,E977),"")</f>
        <v/>
      </c>
      <c r="F931" s="67">
        <f t="shared" si="28"/>
        <v>0</v>
      </c>
      <c r="G931" s="67">
        <f t="shared" si="29"/>
        <v>0</v>
      </c>
      <c r="H931" s="72">
        <f>MIN(H932,H941,H950,H959,H968,H977)</f>
        <v>0</v>
      </c>
      <c r="I931" s="72">
        <f>MAX(I932,I941,I950,I959,I968,I977)</f>
        <v>0</v>
      </c>
      <c r="J931" s="71"/>
    </row>
    <row r="932" spans="1:10" hidden="1" outlineLevel="2" collapsed="1" x14ac:dyDescent="0.35">
      <c r="A932" s="74">
        <v>4</v>
      </c>
      <c r="B932" s="74" t="s">
        <v>392</v>
      </c>
      <c r="C932" s="74" t="s">
        <v>1175</v>
      </c>
      <c r="D932" s="75" t="s">
        <v>394</v>
      </c>
      <c r="E932" s="86" t="str">
        <f>IFERROR(SUBTOTAL(1,E933:E940),"")</f>
        <v/>
      </c>
      <c r="F932" s="74">
        <f t="shared" si="28"/>
        <v>0</v>
      </c>
      <c r="G932" s="74">
        <f t="shared" si="29"/>
        <v>0</v>
      </c>
      <c r="H932" s="76">
        <f>MIN(H933:H940)</f>
        <v>0</v>
      </c>
      <c r="I932" s="76">
        <f>MAX(I933:I940)</f>
        <v>0</v>
      </c>
      <c r="J932" s="77"/>
    </row>
    <row r="933" spans="1:10" hidden="1" outlineLevel="3" x14ac:dyDescent="0.35">
      <c r="A933" s="78">
        <v>5</v>
      </c>
      <c r="B933" s="78" t="s">
        <v>385</v>
      </c>
      <c r="C933" s="78" t="s">
        <v>1176</v>
      </c>
      <c r="D933" s="79"/>
      <c r="E933" s="87"/>
      <c r="F933" s="80">
        <f t="shared" si="28"/>
        <v>0</v>
      </c>
      <c r="G933" s="80">
        <f t="shared" si="29"/>
        <v>0</v>
      </c>
      <c r="H933" s="81"/>
      <c r="I933" s="81"/>
      <c r="J933" s="82"/>
    </row>
    <row r="934" spans="1:10" hidden="1" outlineLevel="3" x14ac:dyDescent="0.35">
      <c r="A934" s="78">
        <v>5</v>
      </c>
      <c r="B934" s="78" t="s">
        <v>385</v>
      </c>
      <c r="C934" s="78" t="s">
        <v>1177</v>
      </c>
      <c r="D934" s="79"/>
      <c r="E934" s="87"/>
      <c r="F934" s="80">
        <f t="shared" si="28"/>
        <v>0</v>
      </c>
      <c r="G934" s="80">
        <f t="shared" si="29"/>
        <v>0</v>
      </c>
      <c r="H934" s="81"/>
      <c r="I934" s="81"/>
      <c r="J934" s="82"/>
    </row>
    <row r="935" spans="1:10" hidden="1" outlineLevel="3" x14ac:dyDescent="0.35">
      <c r="A935" s="78">
        <v>5</v>
      </c>
      <c r="B935" s="78" t="s">
        <v>385</v>
      </c>
      <c r="C935" s="78" t="s">
        <v>1178</v>
      </c>
      <c r="D935" s="79"/>
      <c r="E935" s="87"/>
      <c r="F935" s="80">
        <f t="shared" si="28"/>
        <v>0</v>
      </c>
      <c r="G935" s="80">
        <f t="shared" si="29"/>
        <v>0</v>
      </c>
      <c r="H935" s="81"/>
      <c r="I935" s="81"/>
      <c r="J935" s="82"/>
    </row>
    <row r="936" spans="1:10" hidden="1" outlineLevel="3" x14ac:dyDescent="0.35">
      <c r="A936" s="78">
        <v>5</v>
      </c>
      <c r="B936" s="78" t="s">
        <v>385</v>
      </c>
      <c r="C936" s="78" t="s">
        <v>1179</v>
      </c>
      <c r="D936" s="79"/>
      <c r="E936" s="87"/>
      <c r="F936" s="80">
        <f t="shared" si="28"/>
        <v>0</v>
      </c>
      <c r="G936" s="80">
        <f t="shared" si="29"/>
        <v>0</v>
      </c>
      <c r="H936" s="81"/>
      <c r="I936" s="81"/>
      <c r="J936" s="82"/>
    </row>
    <row r="937" spans="1:10" hidden="1" outlineLevel="3" x14ac:dyDescent="0.35">
      <c r="A937" s="78">
        <v>5</v>
      </c>
      <c r="B937" s="78" t="s">
        <v>385</v>
      </c>
      <c r="C937" s="78" t="s">
        <v>1180</v>
      </c>
      <c r="D937" s="79"/>
      <c r="E937" s="87"/>
      <c r="F937" s="80">
        <f t="shared" si="28"/>
        <v>0</v>
      </c>
      <c r="G937" s="80">
        <f t="shared" si="29"/>
        <v>0</v>
      </c>
      <c r="H937" s="81"/>
      <c r="I937" s="81"/>
      <c r="J937" s="82"/>
    </row>
    <row r="938" spans="1:10" hidden="1" outlineLevel="3" x14ac:dyDescent="0.35">
      <c r="A938" s="78">
        <v>5</v>
      </c>
      <c r="B938" s="78" t="s">
        <v>385</v>
      </c>
      <c r="C938" s="78" t="s">
        <v>1181</v>
      </c>
      <c r="D938" s="79"/>
      <c r="E938" s="87"/>
      <c r="F938" s="80">
        <f t="shared" si="28"/>
        <v>0</v>
      </c>
      <c r="G938" s="80">
        <f t="shared" si="29"/>
        <v>0</v>
      </c>
      <c r="H938" s="81"/>
      <c r="I938" s="81"/>
      <c r="J938" s="82"/>
    </row>
    <row r="939" spans="1:10" hidden="1" outlineLevel="3" x14ac:dyDescent="0.35">
      <c r="A939" s="78">
        <v>5</v>
      </c>
      <c r="B939" s="78" t="s">
        <v>385</v>
      </c>
      <c r="C939" s="78" t="s">
        <v>1182</v>
      </c>
      <c r="D939" s="79"/>
      <c r="E939" s="87"/>
      <c r="F939" s="80">
        <f t="shared" si="28"/>
        <v>0</v>
      </c>
      <c r="G939" s="80">
        <f t="shared" si="29"/>
        <v>0</v>
      </c>
      <c r="H939" s="81"/>
      <c r="I939" s="81"/>
      <c r="J939" s="82"/>
    </row>
    <row r="940" spans="1:10" hidden="1" outlineLevel="3" x14ac:dyDescent="0.35">
      <c r="A940" s="78">
        <v>5</v>
      </c>
      <c r="B940" s="78" t="s">
        <v>385</v>
      </c>
      <c r="C940" s="78" t="s">
        <v>1183</v>
      </c>
      <c r="D940" s="79"/>
      <c r="E940" s="87"/>
      <c r="F940" s="80">
        <f t="shared" si="28"/>
        <v>0</v>
      </c>
      <c r="G940" s="80">
        <f t="shared" si="29"/>
        <v>0</v>
      </c>
      <c r="H940" s="81"/>
      <c r="I940" s="81"/>
      <c r="J940" s="82"/>
    </row>
    <row r="941" spans="1:10" hidden="1" outlineLevel="2" collapsed="1" x14ac:dyDescent="0.35">
      <c r="A941" s="74">
        <v>4</v>
      </c>
      <c r="B941" s="74" t="s">
        <v>392</v>
      </c>
      <c r="C941" s="74" t="s">
        <v>1184</v>
      </c>
      <c r="D941" s="75" t="s">
        <v>404</v>
      </c>
      <c r="E941" s="86" t="str">
        <f>IFERROR(SUBTOTAL(1,E942:E949),"")</f>
        <v/>
      </c>
      <c r="F941" s="74">
        <f t="shared" si="28"/>
        <v>0</v>
      </c>
      <c r="G941" s="74">
        <f t="shared" si="29"/>
        <v>0</v>
      </c>
      <c r="H941" s="76">
        <f>MIN(H942:H949)</f>
        <v>0</v>
      </c>
      <c r="I941" s="76">
        <f>MAX(I942:I949)</f>
        <v>0</v>
      </c>
      <c r="J941" s="77"/>
    </row>
    <row r="942" spans="1:10" hidden="1" outlineLevel="3" x14ac:dyDescent="0.35">
      <c r="A942" s="78">
        <v>5</v>
      </c>
      <c r="B942" s="78" t="s">
        <v>385</v>
      </c>
      <c r="C942" s="78" t="s">
        <v>1185</v>
      </c>
      <c r="D942" s="79"/>
      <c r="E942" s="87"/>
      <c r="F942" s="80">
        <f t="shared" si="28"/>
        <v>0</v>
      </c>
      <c r="G942" s="80">
        <f t="shared" si="29"/>
        <v>0</v>
      </c>
      <c r="H942" s="81"/>
      <c r="I942" s="81"/>
      <c r="J942" s="82"/>
    </row>
    <row r="943" spans="1:10" hidden="1" outlineLevel="3" x14ac:dyDescent="0.35">
      <c r="A943" s="78">
        <v>5</v>
      </c>
      <c r="B943" s="78" t="s">
        <v>385</v>
      </c>
      <c r="C943" s="78" t="s">
        <v>1186</v>
      </c>
      <c r="D943" s="79"/>
      <c r="E943" s="87"/>
      <c r="F943" s="80">
        <f t="shared" si="28"/>
        <v>0</v>
      </c>
      <c r="G943" s="80">
        <f t="shared" si="29"/>
        <v>0</v>
      </c>
      <c r="H943" s="81"/>
      <c r="I943" s="81"/>
      <c r="J943" s="82"/>
    </row>
    <row r="944" spans="1:10" hidden="1" outlineLevel="3" x14ac:dyDescent="0.35">
      <c r="A944" s="78">
        <v>5</v>
      </c>
      <c r="B944" s="78" t="s">
        <v>385</v>
      </c>
      <c r="C944" s="78" t="s">
        <v>1187</v>
      </c>
      <c r="D944" s="79"/>
      <c r="E944" s="87"/>
      <c r="F944" s="80">
        <f t="shared" si="28"/>
        <v>0</v>
      </c>
      <c r="G944" s="80">
        <f t="shared" si="29"/>
        <v>0</v>
      </c>
      <c r="H944" s="81"/>
      <c r="I944" s="81"/>
      <c r="J944" s="82"/>
    </row>
    <row r="945" spans="1:10" hidden="1" outlineLevel="3" x14ac:dyDescent="0.35">
      <c r="A945" s="78">
        <v>5</v>
      </c>
      <c r="B945" s="78" t="s">
        <v>385</v>
      </c>
      <c r="C945" s="78" t="s">
        <v>1188</v>
      </c>
      <c r="D945" s="79"/>
      <c r="E945" s="87"/>
      <c r="F945" s="80">
        <f t="shared" si="28"/>
        <v>0</v>
      </c>
      <c r="G945" s="80">
        <f t="shared" si="29"/>
        <v>0</v>
      </c>
      <c r="H945" s="81"/>
      <c r="I945" s="81"/>
      <c r="J945" s="82"/>
    </row>
    <row r="946" spans="1:10" hidden="1" outlineLevel="3" x14ac:dyDescent="0.35">
      <c r="A946" s="78">
        <v>5</v>
      </c>
      <c r="B946" s="78" t="s">
        <v>385</v>
      </c>
      <c r="C946" s="78" t="s">
        <v>1189</v>
      </c>
      <c r="D946" s="79"/>
      <c r="E946" s="87"/>
      <c r="F946" s="80">
        <f t="shared" si="28"/>
        <v>0</v>
      </c>
      <c r="G946" s="80">
        <f t="shared" si="29"/>
        <v>0</v>
      </c>
      <c r="H946" s="81"/>
      <c r="I946" s="81"/>
      <c r="J946" s="82"/>
    </row>
    <row r="947" spans="1:10" hidden="1" outlineLevel="3" x14ac:dyDescent="0.35">
      <c r="A947" s="78">
        <v>5</v>
      </c>
      <c r="B947" s="78" t="s">
        <v>385</v>
      </c>
      <c r="C947" s="78" t="s">
        <v>1190</v>
      </c>
      <c r="D947" s="79"/>
      <c r="E947" s="87"/>
      <c r="F947" s="80">
        <f t="shared" si="28"/>
        <v>0</v>
      </c>
      <c r="G947" s="80">
        <f t="shared" si="29"/>
        <v>0</v>
      </c>
      <c r="H947" s="81"/>
      <c r="I947" s="81"/>
      <c r="J947" s="82"/>
    </row>
    <row r="948" spans="1:10" hidden="1" outlineLevel="3" x14ac:dyDescent="0.35">
      <c r="A948" s="78">
        <v>5</v>
      </c>
      <c r="B948" s="78" t="s">
        <v>385</v>
      </c>
      <c r="C948" s="78" t="s">
        <v>1191</v>
      </c>
      <c r="D948" s="79"/>
      <c r="E948" s="87"/>
      <c r="F948" s="80">
        <f t="shared" si="28"/>
        <v>0</v>
      </c>
      <c r="G948" s="80">
        <f t="shared" si="29"/>
        <v>0</v>
      </c>
      <c r="H948" s="81"/>
      <c r="I948" s="81"/>
      <c r="J948" s="82"/>
    </row>
    <row r="949" spans="1:10" hidden="1" outlineLevel="3" x14ac:dyDescent="0.35">
      <c r="A949" s="78">
        <v>5</v>
      </c>
      <c r="B949" s="78" t="s">
        <v>385</v>
      </c>
      <c r="C949" s="78" t="s">
        <v>1192</v>
      </c>
      <c r="D949" s="79"/>
      <c r="E949" s="87"/>
      <c r="F949" s="80">
        <f t="shared" si="28"/>
        <v>0</v>
      </c>
      <c r="G949" s="80">
        <f t="shared" si="29"/>
        <v>0</v>
      </c>
      <c r="H949" s="81"/>
      <c r="I949" s="81"/>
      <c r="J949" s="82"/>
    </row>
    <row r="950" spans="1:10" hidden="1" outlineLevel="2" collapsed="1" x14ac:dyDescent="0.35">
      <c r="A950" s="74">
        <v>4</v>
      </c>
      <c r="B950" s="74" t="s">
        <v>392</v>
      </c>
      <c r="C950" s="74" t="s">
        <v>1193</v>
      </c>
      <c r="D950" s="75" t="s">
        <v>414</v>
      </c>
      <c r="E950" s="86" t="str">
        <f>IFERROR(SUBTOTAL(1,E951:E958),"")</f>
        <v/>
      </c>
      <c r="F950" s="74">
        <f t="shared" si="28"/>
        <v>0</v>
      </c>
      <c r="G950" s="74">
        <f t="shared" si="29"/>
        <v>0</v>
      </c>
      <c r="H950" s="76">
        <f>MIN(H951:H958)</f>
        <v>0</v>
      </c>
      <c r="I950" s="76">
        <f>MAX(I951:I958)</f>
        <v>0</v>
      </c>
      <c r="J950" s="77"/>
    </row>
    <row r="951" spans="1:10" hidden="1" outlineLevel="3" x14ac:dyDescent="0.35">
      <c r="A951" s="78">
        <v>5</v>
      </c>
      <c r="B951" s="78" t="s">
        <v>385</v>
      </c>
      <c r="C951" s="78" t="s">
        <v>1194</v>
      </c>
      <c r="D951" s="79"/>
      <c r="E951" s="87"/>
      <c r="F951" s="80">
        <f t="shared" si="28"/>
        <v>0</v>
      </c>
      <c r="G951" s="80">
        <f t="shared" si="29"/>
        <v>0</v>
      </c>
      <c r="H951" s="81"/>
      <c r="I951" s="81"/>
      <c r="J951" s="82"/>
    </row>
    <row r="952" spans="1:10" hidden="1" outlineLevel="3" x14ac:dyDescent="0.35">
      <c r="A952" s="78">
        <v>5</v>
      </c>
      <c r="B952" s="78" t="s">
        <v>385</v>
      </c>
      <c r="C952" s="78" t="s">
        <v>1195</v>
      </c>
      <c r="D952" s="79"/>
      <c r="E952" s="87"/>
      <c r="F952" s="80">
        <f t="shared" si="28"/>
        <v>0</v>
      </c>
      <c r="G952" s="80">
        <f t="shared" si="29"/>
        <v>0</v>
      </c>
      <c r="H952" s="81"/>
      <c r="I952" s="81"/>
      <c r="J952" s="82"/>
    </row>
    <row r="953" spans="1:10" hidden="1" outlineLevel="3" x14ac:dyDescent="0.35">
      <c r="A953" s="78">
        <v>5</v>
      </c>
      <c r="B953" s="78" t="s">
        <v>385</v>
      </c>
      <c r="C953" s="78" t="s">
        <v>1196</v>
      </c>
      <c r="D953" s="79"/>
      <c r="E953" s="87"/>
      <c r="F953" s="80">
        <f t="shared" si="28"/>
        <v>0</v>
      </c>
      <c r="G953" s="80">
        <f t="shared" si="29"/>
        <v>0</v>
      </c>
      <c r="H953" s="81"/>
      <c r="I953" s="81"/>
      <c r="J953" s="82"/>
    </row>
    <row r="954" spans="1:10" hidden="1" outlineLevel="3" x14ac:dyDescent="0.35">
      <c r="A954" s="78">
        <v>5</v>
      </c>
      <c r="B954" s="78" t="s">
        <v>385</v>
      </c>
      <c r="C954" s="78" t="s">
        <v>1197</v>
      </c>
      <c r="D954" s="79"/>
      <c r="E954" s="87"/>
      <c r="F954" s="80">
        <f t="shared" si="28"/>
        <v>0</v>
      </c>
      <c r="G954" s="80">
        <f t="shared" si="29"/>
        <v>0</v>
      </c>
      <c r="H954" s="81"/>
      <c r="I954" s="81"/>
      <c r="J954" s="82"/>
    </row>
    <row r="955" spans="1:10" hidden="1" outlineLevel="3" x14ac:dyDescent="0.35">
      <c r="A955" s="78">
        <v>5</v>
      </c>
      <c r="B955" s="78" t="s">
        <v>385</v>
      </c>
      <c r="C955" s="78" t="s">
        <v>1198</v>
      </c>
      <c r="D955" s="79"/>
      <c r="E955" s="87"/>
      <c r="F955" s="80">
        <f t="shared" si="28"/>
        <v>0</v>
      </c>
      <c r="G955" s="80">
        <f t="shared" si="29"/>
        <v>0</v>
      </c>
      <c r="H955" s="81"/>
      <c r="I955" s="81"/>
      <c r="J955" s="82"/>
    </row>
    <row r="956" spans="1:10" hidden="1" outlineLevel="3" x14ac:dyDescent="0.35">
      <c r="A956" s="78">
        <v>5</v>
      </c>
      <c r="B956" s="78" t="s">
        <v>385</v>
      </c>
      <c r="C956" s="78" t="s">
        <v>1199</v>
      </c>
      <c r="D956" s="79"/>
      <c r="E956" s="87"/>
      <c r="F956" s="80">
        <f t="shared" si="28"/>
        <v>0</v>
      </c>
      <c r="G956" s="80">
        <f t="shared" si="29"/>
        <v>0</v>
      </c>
      <c r="H956" s="81"/>
      <c r="I956" s="81"/>
      <c r="J956" s="82"/>
    </row>
    <row r="957" spans="1:10" hidden="1" outlineLevel="3" x14ac:dyDescent="0.35">
      <c r="A957" s="78">
        <v>5</v>
      </c>
      <c r="B957" s="78" t="s">
        <v>385</v>
      </c>
      <c r="C957" s="78" t="s">
        <v>1200</v>
      </c>
      <c r="D957" s="79"/>
      <c r="E957" s="87"/>
      <c r="F957" s="80">
        <f t="shared" si="28"/>
        <v>0</v>
      </c>
      <c r="G957" s="80">
        <f t="shared" si="29"/>
        <v>0</v>
      </c>
      <c r="H957" s="81"/>
      <c r="I957" s="81"/>
      <c r="J957" s="82"/>
    </row>
    <row r="958" spans="1:10" hidden="1" outlineLevel="3" x14ac:dyDescent="0.35">
      <c r="A958" s="78">
        <v>5</v>
      </c>
      <c r="B958" s="78" t="s">
        <v>385</v>
      </c>
      <c r="C958" s="78" t="s">
        <v>1201</v>
      </c>
      <c r="D958" s="79"/>
      <c r="E958" s="87"/>
      <c r="F958" s="80">
        <f t="shared" si="28"/>
        <v>0</v>
      </c>
      <c r="G958" s="80">
        <f t="shared" si="29"/>
        <v>0</v>
      </c>
      <c r="H958" s="81"/>
      <c r="I958" s="81"/>
      <c r="J958" s="82"/>
    </row>
    <row r="959" spans="1:10" hidden="1" outlineLevel="2" collapsed="1" x14ac:dyDescent="0.35">
      <c r="A959" s="74">
        <v>4</v>
      </c>
      <c r="B959" s="74" t="s">
        <v>392</v>
      </c>
      <c r="C959" s="74" t="s">
        <v>1202</v>
      </c>
      <c r="D959" s="75" t="s">
        <v>424</v>
      </c>
      <c r="E959" s="86" t="str">
        <f>IFERROR(SUBTOTAL(1,E960:E967),"")</f>
        <v/>
      </c>
      <c r="F959" s="74">
        <f t="shared" si="28"/>
        <v>0</v>
      </c>
      <c r="G959" s="74">
        <f t="shared" si="29"/>
        <v>0</v>
      </c>
      <c r="H959" s="76">
        <f>MIN(H960:H967)</f>
        <v>0</v>
      </c>
      <c r="I959" s="76">
        <f>MAX(I960:I967)</f>
        <v>0</v>
      </c>
      <c r="J959" s="77"/>
    </row>
    <row r="960" spans="1:10" hidden="1" outlineLevel="3" x14ac:dyDescent="0.35">
      <c r="A960" s="78">
        <v>5</v>
      </c>
      <c r="B960" s="78" t="s">
        <v>385</v>
      </c>
      <c r="C960" s="78" t="s">
        <v>1203</v>
      </c>
      <c r="D960" s="79"/>
      <c r="E960" s="87"/>
      <c r="F960" s="80">
        <f t="shared" si="28"/>
        <v>0</v>
      </c>
      <c r="G960" s="80">
        <f t="shared" si="29"/>
        <v>0</v>
      </c>
      <c r="H960" s="81"/>
      <c r="I960" s="81"/>
      <c r="J960" s="82"/>
    </row>
    <row r="961" spans="1:10" hidden="1" outlineLevel="3" x14ac:dyDescent="0.35">
      <c r="A961" s="78">
        <v>5</v>
      </c>
      <c r="B961" s="78" t="s">
        <v>385</v>
      </c>
      <c r="C961" s="78" t="s">
        <v>1204</v>
      </c>
      <c r="D961" s="79"/>
      <c r="E961" s="87"/>
      <c r="F961" s="80">
        <f t="shared" si="28"/>
        <v>0</v>
      </c>
      <c r="G961" s="80">
        <f t="shared" si="29"/>
        <v>0</v>
      </c>
      <c r="H961" s="81"/>
      <c r="I961" s="81"/>
      <c r="J961" s="82"/>
    </row>
    <row r="962" spans="1:10" hidden="1" outlineLevel="3" x14ac:dyDescent="0.35">
      <c r="A962" s="78">
        <v>5</v>
      </c>
      <c r="B962" s="78" t="s">
        <v>385</v>
      </c>
      <c r="C962" s="78" t="s">
        <v>1205</v>
      </c>
      <c r="D962" s="79"/>
      <c r="E962" s="87"/>
      <c r="F962" s="80">
        <f t="shared" si="28"/>
        <v>0</v>
      </c>
      <c r="G962" s="80">
        <f t="shared" si="29"/>
        <v>0</v>
      </c>
      <c r="H962" s="81"/>
      <c r="I962" s="81"/>
      <c r="J962" s="82"/>
    </row>
    <row r="963" spans="1:10" hidden="1" outlineLevel="3" x14ac:dyDescent="0.35">
      <c r="A963" s="78">
        <v>5</v>
      </c>
      <c r="B963" s="78" t="s">
        <v>385</v>
      </c>
      <c r="C963" s="78" t="s">
        <v>1206</v>
      </c>
      <c r="D963" s="79"/>
      <c r="E963" s="87"/>
      <c r="F963" s="80">
        <f t="shared" si="28"/>
        <v>0</v>
      </c>
      <c r="G963" s="80">
        <f t="shared" si="29"/>
        <v>0</v>
      </c>
      <c r="H963" s="81"/>
      <c r="I963" s="81"/>
      <c r="J963" s="82"/>
    </row>
    <row r="964" spans="1:10" hidden="1" outlineLevel="3" x14ac:dyDescent="0.35">
      <c r="A964" s="78">
        <v>5</v>
      </c>
      <c r="B964" s="78" t="s">
        <v>385</v>
      </c>
      <c r="C964" s="78" t="s">
        <v>1207</v>
      </c>
      <c r="D964" s="79"/>
      <c r="E964" s="87"/>
      <c r="F964" s="80">
        <f t="shared" si="28"/>
        <v>0</v>
      </c>
      <c r="G964" s="80">
        <f t="shared" si="29"/>
        <v>0</v>
      </c>
      <c r="H964" s="81"/>
      <c r="I964" s="81"/>
      <c r="J964" s="82"/>
    </row>
    <row r="965" spans="1:10" hidden="1" outlineLevel="3" x14ac:dyDescent="0.35">
      <c r="A965" s="78">
        <v>5</v>
      </c>
      <c r="B965" s="78" t="s">
        <v>385</v>
      </c>
      <c r="C965" s="78" t="s">
        <v>1208</v>
      </c>
      <c r="D965" s="79"/>
      <c r="E965" s="87"/>
      <c r="F965" s="80">
        <f t="shared" si="28"/>
        <v>0</v>
      </c>
      <c r="G965" s="80">
        <f t="shared" si="29"/>
        <v>0</v>
      </c>
      <c r="H965" s="81"/>
      <c r="I965" s="81"/>
      <c r="J965" s="82"/>
    </row>
    <row r="966" spans="1:10" hidden="1" outlineLevel="3" x14ac:dyDescent="0.35">
      <c r="A966" s="78">
        <v>5</v>
      </c>
      <c r="B966" s="78" t="s">
        <v>385</v>
      </c>
      <c r="C966" s="78" t="s">
        <v>1209</v>
      </c>
      <c r="D966" s="79"/>
      <c r="E966" s="87"/>
      <c r="F966" s="80">
        <f t="shared" ref="F966:F1029" si="30">IFERROR(DATEDIF(H966,I966,"D"),0)</f>
        <v>0</v>
      </c>
      <c r="G966" s="80">
        <f t="shared" ref="G966:G1029" si="31">IFERROR(NETWORKDAYS.INTL(H966,I966),0)</f>
        <v>0</v>
      </c>
      <c r="H966" s="81"/>
      <c r="I966" s="81"/>
      <c r="J966" s="82"/>
    </row>
    <row r="967" spans="1:10" hidden="1" outlineLevel="3" x14ac:dyDescent="0.35">
      <c r="A967" s="78">
        <v>5</v>
      </c>
      <c r="B967" s="78" t="s">
        <v>385</v>
      </c>
      <c r="C967" s="78" t="s">
        <v>1210</v>
      </c>
      <c r="D967" s="79"/>
      <c r="E967" s="87"/>
      <c r="F967" s="80">
        <f t="shared" si="30"/>
        <v>0</v>
      </c>
      <c r="G967" s="80">
        <f t="shared" si="31"/>
        <v>0</v>
      </c>
      <c r="H967" s="81"/>
      <c r="I967" s="81"/>
      <c r="J967" s="82"/>
    </row>
    <row r="968" spans="1:10" hidden="1" outlineLevel="2" collapsed="1" x14ac:dyDescent="0.35">
      <c r="A968" s="74">
        <v>4</v>
      </c>
      <c r="B968" s="74" t="s">
        <v>392</v>
      </c>
      <c r="C968" s="74" t="s">
        <v>1211</v>
      </c>
      <c r="D968" s="75" t="s">
        <v>434</v>
      </c>
      <c r="E968" s="86" t="str">
        <f>IFERROR(SUBTOTAL(1,E969:E976),"")</f>
        <v/>
      </c>
      <c r="F968" s="74">
        <f t="shared" si="30"/>
        <v>0</v>
      </c>
      <c r="G968" s="74">
        <f t="shared" si="31"/>
        <v>0</v>
      </c>
      <c r="H968" s="76">
        <f>MIN(H969:H976)</f>
        <v>0</v>
      </c>
      <c r="I968" s="76">
        <f>MAX(I969:I976)</f>
        <v>0</v>
      </c>
      <c r="J968" s="77"/>
    </row>
    <row r="969" spans="1:10" hidden="1" outlineLevel="3" x14ac:dyDescent="0.35">
      <c r="A969" s="78">
        <v>5</v>
      </c>
      <c r="B969" s="78" t="s">
        <v>385</v>
      </c>
      <c r="C969" s="78" t="s">
        <v>1212</v>
      </c>
      <c r="D969" s="79"/>
      <c r="E969" s="87"/>
      <c r="F969" s="80">
        <f t="shared" si="30"/>
        <v>0</v>
      </c>
      <c r="G969" s="80">
        <f t="shared" si="31"/>
        <v>0</v>
      </c>
      <c r="H969" s="81"/>
      <c r="I969" s="81"/>
      <c r="J969" s="82"/>
    </row>
    <row r="970" spans="1:10" hidden="1" outlineLevel="3" x14ac:dyDescent="0.35">
      <c r="A970" s="78">
        <v>5</v>
      </c>
      <c r="B970" s="78" t="s">
        <v>385</v>
      </c>
      <c r="C970" s="78" t="s">
        <v>1213</v>
      </c>
      <c r="D970" s="79"/>
      <c r="E970" s="87"/>
      <c r="F970" s="80">
        <f t="shared" si="30"/>
        <v>0</v>
      </c>
      <c r="G970" s="80">
        <f t="shared" si="31"/>
        <v>0</v>
      </c>
      <c r="H970" s="81"/>
      <c r="I970" s="81"/>
      <c r="J970" s="82"/>
    </row>
    <row r="971" spans="1:10" hidden="1" outlineLevel="3" x14ac:dyDescent="0.35">
      <c r="A971" s="78">
        <v>5</v>
      </c>
      <c r="B971" s="78" t="s">
        <v>385</v>
      </c>
      <c r="C971" s="78" t="s">
        <v>1214</v>
      </c>
      <c r="D971" s="79"/>
      <c r="E971" s="87"/>
      <c r="F971" s="80">
        <f t="shared" si="30"/>
        <v>0</v>
      </c>
      <c r="G971" s="80">
        <f t="shared" si="31"/>
        <v>0</v>
      </c>
      <c r="H971" s="81"/>
      <c r="I971" s="81"/>
      <c r="J971" s="82"/>
    </row>
    <row r="972" spans="1:10" hidden="1" outlineLevel="3" x14ac:dyDescent="0.35">
      <c r="A972" s="78">
        <v>5</v>
      </c>
      <c r="B972" s="78" t="s">
        <v>385</v>
      </c>
      <c r="C972" s="78" t="s">
        <v>1215</v>
      </c>
      <c r="D972" s="79"/>
      <c r="E972" s="87"/>
      <c r="F972" s="80">
        <f t="shared" si="30"/>
        <v>0</v>
      </c>
      <c r="G972" s="80">
        <f t="shared" si="31"/>
        <v>0</v>
      </c>
      <c r="H972" s="81"/>
      <c r="I972" s="81"/>
      <c r="J972" s="82"/>
    </row>
    <row r="973" spans="1:10" hidden="1" outlineLevel="3" x14ac:dyDescent="0.35">
      <c r="A973" s="78">
        <v>5</v>
      </c>
      <c r="B973" s="78" t="s">
        <v>385</v>
      </c>
      <c r="C973" s="78" t="s">
        <v>1216</v>
      </c>
      <c r="D973" s="79"/>
      <c r="E973" s="87"/>
      <c r="F973" s="80">
        <f t="shared" si="30"/>
        <v>0</v>
      </c>
      <c r="G973" s="80">
        <f t="shared" si="31"/>
        <v>0</v>
      </c>
      <c r="H973" s="81"/>
      <c r="I973" s="81"/>
      <c r="J973" s="82"/>
    </row>
    <row r="974" spans="1:10" hidden="1" outlineLevel="3" x14ac:dyDescent="0.35">
      <c r="A974" s="78">
        <v>5</v>
      </c>
      <c r="B974" s="78" t="s">
        <v>385</v>
      </c>
      <c r="C974" s="78" t="s">
        <v>1217</v>
      </c>
      <c r="D974" s="79"/>
      <c r="E974" s="87"/>
      <c r="F974" s="80">
        <f t="shared" si="30"/>
        <v>0</v>
      </c>
      <c r="G974" s="80">
        <f t="shared" si="31"/>
        <v>0</v>
      </c>
      <c r="H974" s="81"/>
      <c r="I974" s="81"/>
      <c r="J974" s="82"/>
    </row>
    <row r="975" spans="1:10" hidden="1" outlineLevel="3" x14ac:dyDescent="0.35">
      <c r="A975" s="78">
        <v>5</v>
      </c>
      <c r="B975" s="78" t="s">
        <v>385</v>
      </c>
      <c r="C975" s="78" t="s">
        <v>1218</v>
      </c>
      <c r="D975" s="79"/>
      <c r="E975" s="87"/>
      <c r="F975" s="80">
        <f t="shared" si="30"/>
        <v>0</v>
      </c>
      <c r="G975" s="80">
        <f t="shared" si="31"/>
        <v>0</v>
      </c>
      <c r="H975" s="81"/>
      <c r="I975" s="81"/>
      <c r="J975" s="82"/>
    </row>
    <row r="976" spans="1:10" hidden="1" outlineLevel="3" x14ac:dyDescent="0.35">
      <c r="A976" s="78">
        <v>5</v>
      </c>
      <c r="B976" s="78" t="s">
        <v>385</v>
      </c>
      <c r="C976" s="78" t="s">
        <v>1219</v>
      </c>
      <c r="D976" s="79"/>
      <c r="E976" s="87"/>
      <c r="F976" s="80">
        <f t="shared" si="30"/>
        <v>0</v>
      </c>
      <c r="G976" s="80">
        <f t="shared" si="31"/>
        <v>0</v>
      </c>
      <c r="H976" s="81"/>
      <c r="I976" s="81"/>
      <c r="J976" s="82"/>
    </row>
    <row r="977" spans="1:10" hidden="1" outlineLevel="2" collapsed="1" x14ac:dyDescent="0.35">
      <c r="A977" s="74">
        <v>4</v>
      </c>
      <c r="B977" s="74" t="s">
        <v>392</v>
      </c>
      <c r="C977" s="74" t="s">
        <v>1220</v>
      </c>
      <c r="D977" s="75" t="s">
        <v>444</v>
      </c>
      <c r="E977" s="86" t="str">
        <f>IFERROR(SUBTOTAL(1,E978:E985),"")</f>
        <v/>
      </c>
      <c r="F977" s="74">
        <f t="shared" si="30"/>
        <v>0</v>
      </c>
      <c r="G977" s="74">
        <f t="shared" si="31"/>
        <v>0</v>
      </c>
      <c r="H977" s="76">
        <f>MIN(H978:H985)</f>
        <v>0</v>
      </c>
      <c r="I977" s="76">
        <f>MAX(I978:I985)</f>
        <v>0</v>
      </c>
      <c r="J977" s="77"/>
    </row>
    <row r="978" spans="1:10" hidden="1" outlineLevel="3" x14ac:dyDescent="0.35">
      <c r="A978" s="78">
        <v>5</v>
      </c>
      <c r="B978" s="78" t="s">
        <v>385</v>
      </c>
      <c r="C978" s="78" t="s">
        <v>1470</v>
      </c>
      <c r="D978" s="79"/>
      <c r="E978" s="87"/>
      <c r="F978" s="80">
        <f t="shared" si="30"/>
        <v>0</v>
      </c>
      <c r="G978" s="80">
        <f t="shared" si="31"/>
        <v>0</v>
      </c>
      <c r="H978" s="81"/>
      <c r="I978" s="81"/>
      <c r="J978" s="82"/>
    </row>
    <row r="979" spans="1:10" hidden="1" outlineLevel="3" x14ac:dyDescent="0.35">
      <c r="A979" s="78">
        <v>5</v>
      </c>
      <c r="B979" s="78" t="s">
        <v>385</v>
      </c>
      <c r="C979" s="78" t="s">
        <v>1471</v>
      </c>
      <c r="D979" s="79"/>
      <c r="E979" s="87"/>
      <c r="F979" s="80">
        <f t="shared" si="30"/>
        <v>0</v>
      </c>
      <c r="G979" s="80">
        <f t="shared" si="31"/>
        <v>0</v>
      </c>
      <c r="H979" s="81"/>
      <c r="I979" s="81"/>
      <c r="J979" s="82"/>
    </row>
    <row r="980" spans="1:10" hidden="1" outlineLevel="3" x14ac:dyDescent="0.35">
      <c r="A980" s="78">
        <v>5</v>
      </c>
      <c r="B980" s="78" t="s">
        <v>385</v>
      </c>
      <c r="C980" s="78" t="s">
        <v>1472</v>
      </c>
      <c r="D980" s="79"/>
      <c r="E980" s="87"/>
      <c r="F980" s="80">
        <f t="shared" si="30"/>
        <v>0</v>
      </c>
      <c r="G980" s="80">
        <f t="shared" si="31"/>
        <v>0</v>
      </c>
      <c r="H980" s="81"/>
      <c r="I980" s="81"/>
      <c r="J980" s="82"/>
    </row>
    <row r="981" spans="1:10" hidden="1" outlineLevel="3" x14ac:dyDescent="0.35">
      <c r="A981" s="78">
        <v>5</v>
      </c>
      <c r="B981" s="78" t="s">
        <v>385</v>
      </c>
      <c r="C981" s="78" t="s">
        <v>1473</v>
      </c>
      <c r="D981" s="79"/>
      <c r="E981" s="87"/>
      <c r="F981" s="80">
        <f t="shared" si="30"/>
        <v>0</v>
      </c>
      <c r="G981" s="80">
        <f t="shared" si="31"/>
        <v>0</v>
      </c>
      <c r="H981" s="81"/>
      <c r="I981" s="81"/>
      <c r="J981" s="82"/>
    </row>
    <row r="982" spans="1:10" hidden="1" outlineLevel="3" x14ac:dyDescent="0.35">
      <c r="A982" s="78">
        <v>5</v>
      </c>
      <c r="B982" s="78" t="s">
        <v>385</v>
      </c>
      <c r="C982" s="78" t="s">
        <v>1474</v>
      </c>
      <c r="D982" s="79"/>
      <c r="E982" s="87"/>
      <c r="F982" s="80">
        <f t="shared" si="30"/>
        <v>0</v>
      </c>
      <c r="G982" s="80">
        <f t="shared" si="31"/>
        <v>0</v>
      </c>
      <c r="H982" s="81"/>
      <c r="I982" s="81"/>
      <c r="J982" s="82"/>
    </row>
    <row r="983" spans="1:10" hidden="1" outlineLevel="3" x14ac:dyDescent="0.35">
      <c r="A983" s="78">
        <v>5</v>
      </c>
      <c r="B983" s="78" t="s">
        <v>385</v>
      </c>
      <c r="C983" s="78" t="s">
        <v>1475</v>
      </c>
      <c r="D983" s="79"/>
      <c r="E983" s="87"/>
      <c r="F983" s="80">
        <f t="shared" si="30"/>
        <v>0</v>
      </c>
      <c r="G983" s="80">
        <f t="shared" si="31"/>
        <v>0</v>
      </c>
      <c r="H983" s="81"/>
      <c r="I983" s="81"/>
      <c r="J983" s="82"/>
    </row>
    <row r="984" spans="1:10" hidden="1" outlineLevel="3" x14ac:dyDescent="0.35">
      <c r="A984" s="78">
        <v>5</v>
      </c>
      <c r="B984" s="78" t="s">
        <v>385</v>
      </c>
      <c r="C984" s="78" t="s">
        <v>1476</v>
      </c>
      <c r="D984" s="79"/>
      <c r="E984" s="87"/>
      <c r="F984" s="80">
        <f t="shared" si="30"/>
        <v>0</v>
      </c>
      <c r="G984" s="80">
        <f t="shared" si="31"/>
        <v>0</v>
      </c>
      <c r="H984" s="81"/>
      <c r="I984" s="81"/>
      <c r="J984" s="82"/>
    </row>
    <row r="985" spans="1:10" hidden="1" outlineLevel="3" x14ac:dyDescent="0.35">
      <c r="A985" s="78">
        <v>5</v>
      </c>
      <c r="B985" s="78" t="s">
        <v>385</v>
      </c>
      <c r="C985" s="78" t="s">
        <v>1477</v>
      </c>
      <c r="D985" s="79"/>
      <c r="E985" s="87"/>
      <c r="F985" s="80">
        <f t="shared" si="30"/>
        <v>0</v>
      </c>
      <c r="G985" s="80">
        <f t="shared" si="31"/>
        <v>0</v>
      </c>
      <c r="H985" s="81"/>
      <c r="I985" s="81"/>
      <c r="J985" s="82"/>
    </row>
    <row r="986" spans="1:10" outlineLevel="1" collapsed="1" x14ac:dyDescent="0.35">
      <c r="A986" s="67">
        <v>3</v>
      </c>
      <c r="B986" s="67" t="s">
        <v>298</v>
      </c>
      <c r="C986" s="67" t="s">
        <v>1221</v>
      </c>
      <c r="D986" s="73" t="s">
        <v>1174</v>
      </c>
      <c r="E986" s="85" t="str">
        <f>IFERROR(AVERAGE(E987,E996,E1005,E1014,E1023,E1032),"")</f>
        <v/>
      </c>
      <c r="F986" s="67">
        <f t="shared" si="30"/>
        <v>0</v>
      </c>
      <c r="G986" s="67">
        <f t="shared" si="31"/>
        <v>0</v>
      </c>
      <c r="H986" s="72">
        <f>MIN(H987,H996,H1005,H1014,H1023,H1032)</f>
        <v>0</v>
      </c>
      <c r="I986" s="72">
        <f>MAX(I987,I996,I1005,I1014,I1023,I1032)</f>
        <v>0</v>
      </c>
      <c r="J986" s="71"/>
    </row>
    <row r="987" spans="1:10" hidden="1" outlineLevel="2" collapsed="1" x14ac:dyDescent="0.35">
      <c r="A987" s="74">
        <v>4</v>
      </c>
      <c r="B987" s="74" t="s">
        <v>392</v>
      </c>
      <c r="C987" s="74" t="s">
        <v>1223</v>
      </c>
      <c r="D987" s="75" t="s">
        <v>394</v>
      </c>
      <c r="E987" s="86" t="str">
        <f>IFERROR(SUBTOTAL(1,E988:E995),"")</f>
        <v/>
      </c>
      <c r="F987" s="74">
        <f t="shared" si="30"/>
        <v>0</v>
      </c>
      <c r="G987" s="74">
        <f t="shared" si="31"/>
        <v>0</v>
      </c>
      <c r="H987" s="76">
        <f>MIN(H988:H995)</f>
        <v>0</v>
      </c>
      <c r="I987" s="76">
        <f>MAX(I988:I995)</f>
        <v>0</v>
      </c>
      <c r="J987" s="77"/>
    </row>
    <row r="988" spans="1:10" hidden="1" outlineLevel="3" x14ac:dyDescent="0.35">
      <c r="A988" s="78">
        <v>5</v>
      </c>
      <c r="B988" s="78" t="s">
        <v>385</v>
      </c>
      <c r="C988" s="78" t="s">
        <v>1224</v>
      </c>
      <c r="D988" s="79"/>
      <c r="E988" s="87"/>
      <c r="F988" s="80">
        <f t="shared" si="30"/>
        <v>0</v>
      </c>
      <c r="G988" s="80">
        <f t="shared" si="31"/>
        <v>0</v>
      </c>
      <c r="H988" s="81"/>
      <c r="I988" s="81"/>
      <c r="J988" s="82"/>
    </row>
    <row r="989" spans="1:10" hidden="1" outlineLevel="3" x14ac:dyDescent="0.35">
      <c r="A989" s="78">
        <v>5</v>
      </c>
      <c r="B989" s="78" t="s">
        <v>385</v>
      </c>
      <c r="C989" s="78" t="s">
        <v>1225</v>
      </c>
      <c r="D989" s="79"/>
      <c r="E989" s="87"/>
      <c r="F989" s="80">
        <f t="shared" si="30"/>
        <v>0</v>
      </c>
      <c r="G989" s="80">
        <f t="shared" si="31"/>
        <v>0</v>
      </c>
      <c r="H989" s="81"/>
      <c r="I989" s="81"/>
      <c r="J989" s="82"/>
    </row>
    <row r="990" spans="1:10" hidden="1" outlineLevel="3" x14ac:dyDescent="0.35">
      <c r="A990" s="78">
        <v>5</v>
      </c>
      <c r="B990" s="78" t="s">
        <v>385</v>
      </c>
      <c r="C990" s="78" t="s">
        <v>1226</v>
      </c>
      <c r="D990" s="79"/>
      <c r="E990" s="87"/>
      <c r="F990" s="80">
        <f t="shared" si="30"/>
        <v>0</v>
      </c>
      <c r="G990" s="80">
        <f t="shared" si="31"/>
        <v>0</v>
      </c>
      <c r="H990" s="81"/>
      <c r="I990" s="81"/>
      <c r="J990" s="82"/>
    </row>
    <row r="991" spans="1:10" hidden="1" outlineLevel="3" x14ac:dyDescent="0.35">
      <c r="A991" s="78">
        <v>5</v>
      </c>
      <c r="B991" s="78" t="s">
        <v>385</v>
      </c>
      <c r="C991" s="78" t="s">
        <v>1227</v>
      </c>
      <c r="D991" s="79"/>
      <c r="E991" s="87"/>
      <c r="F991" s="80">
        <f t="shared" si="30"/>
        <v>0</v>
      </c>
      <c r="G991" s="80">
        <f t="shared" si="31"/>
        <v>0</v>
      </c>
      <c r="H991" s="81"/>
      <c r="I991" s="81"/>
      <c r="J991" s="82"/>
    </row>
    <row r="992" spans="1:10" hidden="1" outlineLevel="3" x14ac:dyDescent="0.35">
      <c r="A992" s="78">
        <v>5</v>
      </c>
      <c r="B992" s="78" t="s">
        <v>385</v>
      </c>
      <c r="C992" s="78" t="s">
        <v>1228</v>
      </c>
      <c r="D992" s="79"/>
      <c r="E992" s="87"/>
      <c r="F992" s="80">
        <f t="shared" si="30"/>
        <v>0</v>
      </c>
      <c r="G992" s="80">
        <f t="shared" si="31"/>
        <v>0</v>
      </c>
      <c r="H992" s="81"/>
      <c r="I992" s="81"/>
      <c r="J992" s="82"/>
    </row>
    <row r="993" spans="1:10" hidden="1" outlineLevel="3" x14ac:dyDescent="0.35">
      <c r="A993" s="78">
        <v>5</v>
      </c>
      <c r="B993" s="78" t="s">
        <v>385</v>
      </c>
      <c r="C993" s="78" t="s">
        <v>1229</v>
      </c>
      <c r="D993" s="79"/>
      <c r="E993" s="87"/>
      <c r="F993" s="80">
        <f t="shared" si="30"/>
        <v>0</v>
      </c>
      <c r="G993" s="80">
        <f t="shared" si="31"/>
        <v>0</v>
      </c>
      <c r="H993" s="81"/>
      <c r="I993" s="81"/>
      <c r="J993" s="82"/>
    </row>
    <row r="994" spans="1:10" hidden="1" outlineLevel="3" x14ac:dyDescent="0.35">
      <c r="A994" s="78">
        <v>5</v>
      </c>
      <c r="B994" s="78" t="s">
        <v>385</v>
      </c>
      <c r="C994" s="78" t="s">
        <v>1230</v>
      </c>
      <c r="D994" s="79"/>
      <c r="E994" s="87"/>
      <c r="F994" s="80">
        <f t="shared" si="30"/>
        <v>0</v>
      </c>
      <c r="G994" s="80">
        <f t="shared" si="31"/>
        <v>0</v>
      </c>
      <c r="H994" s="81"/>
      <c r="I994" s="81"/>
      <c r="J994" s="82"/>
    </row>
    <row r="995" spans="1:10" hidden="1" outlineLevel="3" x14ac:dyDescent="0.35">
      <c r="A995" s="78">
        <v>5</v>
      </c>
      <c r="B995" s="78" t="s">
        <v>385</v>
      </c>
      <c r="C995" s="78" t="s">
        <v>1231</v>
      </c>
      <c r="D995" s="79"/>
      <c r="E995" s="87"/>
      <c r="F995" s="80">
        <f t="shared" si="30"/>
        <v>0</v>
      </c>
      <c r="G995" s="80">
        <f t="shared" si="31"/>
        <v>0</v>
      </c>
      <c r="H995" s="81"/>
      <c r="I995" s="81"/>
      <c r="J995" s="82"/>
    </row>
    <row r="996" spans="1:10" hidden="1" outlineLevel="2" collapsed="1" x14ac:dyDescent="0.35">
      <c r="A996" s="74">
        <v>4</v>
      </c>
      <c r="B996" s="74" t="s">
        <v>392</v>
      </c>
      <c r="C996" s="74" t="s">
        <v>1232</v>
      </c>
      <c r="D996" s="75" t="s">
        <v>404</v>
      </c>
      <c r="E996" s="86" t="str">
        <f>IFERROR(SUBTOTAL(1,E997:E1004),"")</f>
        <v/>
      </c>
      <c r="F996" s="74">
        <f t="shared" si="30"/>
        <v>0</v>
      </c>
      <c r="G996" s="74">
        <f t="shared" si="31"/>
        <v>0</v>
      </c>
      <c r="H996" s="76">
        <f>MIN(H997:H1004)</f>
        <v>0</v>
      </c>
      <c r="I996" s="76">
        <f>MAX(I997:I1004)</f>
        <v>0</v>
      </c>
      <c r="J996" s="77"/>
    </row>
    <row r="997" spans="1:10" hidden="1" outlineLevel="3" x14ac:dyDescent="0.35">
      <c r="A997" s="78">
        <v>5</v>
      </c>
      <c r="B997" s="78" t="s">
        <v>385</v>
      </c>
      <c r="C997" s="78" t="s">
        <v>1233</v>
      </c>
      <c r="D997" s="79"/>
      <c r="E997" s="87"/>
      <c r="F997" s="80">
        <f t="shared" si="30"/>
        <v>0</v>
      </c>
      <c r="G997" s="80">
        <f t="shared" si="31"/>
        <v>0</v>
      </c>
      <c r="H997" s="81"/>
      <c r="I997" s="81"/>
      <c r="J997" s="82"/>
    </row>
    <row r="998" spans="1:10" hidden="1" outlineLevel="3" x14ac:dyDescent="0.35">
      <c r="A998" s="78">
        <v>5</v>
      </c>
      <c r="B998" s="78" t="s">
        <v>385</v>
      </c>
      <c r="C998" s="78" t="s">
        <v>1234</v>
      </c>
      <c r="D998" s="79"/>
      <c r="E998" s="87"/>
      <c r="F998" s="80">
        <f t="shared" si="30"/>
        <v>0</v>
      </c>
      <c r="G998" s="80">
        <f t="shared" si="31"/>
        <v>0</v>
      </c>
      <c r="H998" s="81"/>
      <c r="I998" s="81"/>
      <c r="J998" s="82"/>
    </row>
    <row r="999" spans="1:10" hidden="1" outlineLevel="3" x14ac:dyDescent="0.35">
      <c r="A999" s="78">
        <v>5</v>
      </c>
      <c r="B999" s="78" t="s">
        <v>385</v>
      </c>
      <c r="C999" s="78" t="s">
        <v>1235</v>
      </c>
      <c r="D999" s="79"/>
      <c r="E999" s="87"/>
      <c r="F999" s="80">
        <f t="shared" si="30"/>
        <v>0</v>
      </c>
      <c r="G999" s="80">
        <f t="shared" si="31"/>
        <v>0</v>
      </c>
      <c r="H999" s="81"/>
      <c r="I999" s="81"/>
      <c r="J999" s="82"/>
    </row>
    <row r="1000" spans="1:10" hidden="1" outlineLevel="3" x14ac:dyDescent="0.35">
      <c r="A1000" s="78">
        <v>5</v>
      </c>
      <c r="B1000" s="78" t="s">
        <v>385</v>
      </c>
      <c r="C1000" s="78" t="s">
        <v>1236</v>
      </c>
      <c r="D1000" s="79"/>
      <c r="E1000" s="87"/>
      <c r="F1000" s="80">
        <f t="shared" si="30"/>
        <v>0</v>
      </c>
      <c r="G1000" s="80">
        <f t="shared" si="31"/>
        <v>0</v>
      </c>
      <c r="H1000" s="81"/>
      <c r="I1000" s="81"/>
      <c r="J1000" s="82"/>
    </row>
    <row r="1001" spans="1:10" hidden="1" outlineLevel="3" x14ac:dyDescent="0.35">
      <c r="A1001" s="78">
        <v>5</v>
      </c>
      <c r="B1001" s="78" t="s">
        <v>385</v>
      </c>
      <c r="C1001" s="78" t="s">
        <v>1237</v>
      </c>
      <c r="D1001" s="79"/>
      <c r="E1001" s="87"/>
      <c r="F1001" s="80">
        <f t="shared" si="30"/>
        <v>0</v>
      </c>
      <c r="G1001" s="80">
        <f t="shared" si="31"/>
        <v>0</v>
      </c>
      <c r="H1001" s="81"/>
      <c r="I1001" s="81"/>
      <c r="J1001" s="82"/>
    </row>
    <row r="1002" spans="1:10" hidden="1" outlineLevel="3" x14ac:dyDescent="0.35">
      <c r="A1002" s="78">
        <v>5</v>
      </c>
      <c r="B1002" s="78" t="s">
        <v>385</v>
      </c>
      <c r="C1002" s="78" t="s">
        <v>1238</v>
      </c>
      <c r="D1002" s="79"/>
      <c r="E1002" s="87"/>
      <c r="F1002" s="80">
        <f t="shared" si="30"/>
        <v>0</v>
      </c>
      <c r="G1002" s="80">
        <f t="shared" si="31"/>
        <v>0</v>
      </c>
      <c r="H1002" s="81"/>
      <c r="I1002" s="81"/>
      <c r="J1002" s="82"/>
    </row>
    <row r="1003" spans="1:10" hidden="1" outlineLevel="3" x14ac:dyDescent="0.35">
      <c r="A1003" s="78">
        <v>5</v>
      </c>
      <c r="B1003" s="78" t="s">
        <v>385</v>
      </c>
      <c r="C1003" s="78" t="s">
        <v>1239</v>
      </c>
      <c r="D1003" s="79"/>
      <c r="E1003" s="87"/>
      <c r="F1003" s="80">
        <f t="shared" si="30"/>
        <v>0</v>
      </c>
      <c r="G1003" s="80">
        <f t="shared" si="31"/>
        <v>0</v>
      </c>
      <c r="H1003" s="81"/>
      <c r="I1003" s="81"/>
      <c r="J1003" s="82"/>
    </row>
    <row r="1004" spans="1:10" hidden="1" outlineLevel="3" x14ac:dyDescent="0.35">
      <c r="A1004" s="78">
        <v>5</v>
      </c>
      <c r="B1004" s="78" t="s">
        <v>385</v>
      </c>
      <c r="C1004" s="78" t="s">
        <v>1240</v>
      </c>
      <c r="D1004" s="79"/>
      <c r="E1004" s="87"/>
      <c r="F1004" s="80">
        <f t="shared" si="30"/>
        <v>0</v>
      </c>
      <c r="G1004" s="80">
        <f t="shared" si="31"/>
        <v>0</v>
      </c>
      <c r="H1004" s="81"/>
      <c r="I1004" s="81"/>
      <c r="J1004" s="82"/>
    </row>
    <row r="1005" spans="1:10" hidden="1" outlineLevel="2" collapsed="1" x14ac:dyDescent="0.35">
      <c r="A1005" s="74">
        <v>4</v>
      </c>
      <c r="B1005" s="74" t="s">
        <v>392</v>
      </c>
      <c r="C1005" s="74" t="s">
        <v>1241</v>
      </c>
      <c r="D1005" s="75" t="s">
        <v>414</v>
      </c>
      <c r="E1005" s="86" t="str">
        <f>IFERROR(SUBTOTAL(1,E1006:E1013),"")</f>
        <v/>
      </c>
      <c r="F1005" s="74">
        <f t="shared" si="30"/>
        <v>0</v>
      </c>
      <c r="G1005" s="74">
        <f t="shared" si="31"/>
        <v>0</v>
      </c>
      <c r="H1005" s="76">
        <f>MIN(H1006:H1013)</f>
        <v>0</v>
      </c>
      <c r="I1005" s="76">
        <f>MAX(I1006:I1013)</f>
        <v>0</v>
      </c>
      <c r="J1005" s="77"/>
    </row>
    <row r="1006" spans="1:10" hidden="1" outlineLevel="3" x14ac:dyDescent="0.35">
      <c r="A1006" s="78">
        <v>5</v>
      </c>
      <c r="B1006" s="78" t="s">
        <v>385</v>
      </c>
      <c r="C1006" s="78" t="s">
        <v>1242</v>
      </c>
      <c r="D1006" s="79"/>
      <c r="E1006" s="87"/>
      <c r="F1006" s="80">
        <f t="shared" si="30"/>
        <v>0</v>
      </c>
      <c r="G1006" s="80">
        <f t="shared" si="31"/>
        <v>0</v>
      </c>
      <c r="H1006" s="81"/>
      <c r="I1006" s="81"/>
      <c r="J1006" s="82"/>
    </row>
    <row r="1007" spans="1:10" hidden="1" outlineLevel="3" x14ac:dyDescent="0.35">
      <c r="A1007" s="78">
        <v>5</v>
      </c>
      <c r="B1007" s="78" t="s">
        <v>385</v>
      </c>
      <c r="C1007" s="78" t="s">
        <v>1243</v>
      </c>
      <c r="D1007" s="79"/>
      <c r="E1007" s="87"/>
      <c r="F1007" s="80">
        <f t="shared" si="30"/>
        <v>0</v>
      </c>
      <c r="G1007" s="80">
        <f t="shared" si="31"/>
        <v>0</v>
      </c>
      <c r="H1007" s="81"/>
      <c r="I1007" s="81"/>
      <c r="J1007" s="82"/>
    </row>
    <row r="1008" spans="1:10" hidden="1" outlineLevel="3" x14ac:dyDescent="0.35">
      <c r="A1008" s="78">
        <v>5</v>
      </c>
      <c r="B1008" s="78" t="s">
        <v>385</v>
      </c>
      <c r="C1008" s="78" t="s">
        <v>1244</v>
      </c>
      <c r="D1008" s="79"/>
      <c r="E1008" s="87"/>
      <c r="F1008" s="80">
        <f t="shared" si="30"/>
        <v>0</v>
      </c>
      <c r="G1008" s="80">
        <f t="shared" si="31"/>
        <v>0</v>
      </c>
      <c r="H1008" s="81"/>
      <c r="I1008" s="81"/>
      <c r="J1008" s="82"/>
    </row>
    <row r="1009" spans="1:10" hidden="1" outlineLevel="3" x14ac:dyDescent="0.35">
      <c r="A1009" s="78">
        <v>5</v>
      </c>
      <c r="B1009" s="78" t="s">
        <v>385</v>
      </c>
      <c r="C1009" s="78" t="s">
        <v>1245</v>
      </c>
      <c r="D1009" s="79"/>
      <c r="E1009" s="87"/>
      <c r="F1009" s="80">
        <f t="shared" si="30"/>
        <v>0</v>
      </c>
      <c r="G1009" s="80">
        <f t="shared" si="31"/>
        <v>0</v>
      </c>
      <c r="H1009" s="81"/>
      <c r="I1009" s="81"/>
      <c r="J1009" s="82"/>
    </row>
    <row r="1010" spans="1:10" hidden="1" outlineLevel="3" x14ac:dyDescent="0.35">
      <c r="A1010" s="78">
        <v>5</v>
      </c>
      <c r="B1010" s="78" t="s">
        <v>385</v>
      </c>
      <c r="C1010" s="78" t="s">
        <v>1246</v>
      </c>
      <c r="D1010" s="79"/>
      <c r="E1010" s="87"/>
      <c r="F1010" s="80">
        <f t="shared" si="30"/>
        <v>0</v>
      </c>
      <c r="G1010" s="80">
        <f t="shared" si="31"/>
        <v>0</v>
      </c>
      <c r="H1010" s="81"/>
      <c r="I1010" s="81"/>
      <c r="J1010" s="82"/>
    </row>
    <row r="1011" spans="1:10" hidden="1" outlineLevel="3" x14ac:dyDescent="0.35">
      <c r="A1011" s="78">
        <v>5</v>
      </c>
      <c r="B1011" s="78" t="s">
        <v>385</v>
      </c>
      <c r="C1011" s="78" t="s">
        <v>1247</v>
      </c>
      <c r="D1011" s="79"/>
      <c r="E1011" s="87"/>
      <c r="F1011" s="80">
        <f t="shared" si="30"/>
        <v>0</v>
      </c>
      <c r="G1011" s="80">
        <f t="shared" si="31"/>
        <v>0</v>
      </c>
      <c r="H1011" s="81"/>
      <c r="I1011" s="81"/>
      <c r="J1011" s="82"/>
    </row>
    <row r="1012" spans="1:10" hidden="1" outlineLevel="3" x14ac:dyDescent="0.35">
      <c r="A1012" s="78">
        <v>5</v>
      </c>
      <c r="B1012" s="78" t="s">
        <v>385</v>
      </c>
      <c r="C1012" s="78" t="s">
        <v>1248</v>
      </c>
      <c r="D1012" s="79"/>
      <c r="E1012" s="87"/>
      <c r="F1012" s="80">
        <f t="shared" si="30"/>
        <v>0</v>
      </c>
      <c r="G1012" s="80">
        <f t="shared" si="31"/>
        <v>0</v>
      </c>
      <c r="H1012" s="81"/>
      <c r="I1012" s="81"/>
      <c r="J1012" s="82"/>
    </row>
    <row r="1013" spans="1:10" hidden="1" outlineLevel="3" x14ac:dyDescent="0.35">
      <c r="A1013" s="78">
        <v>5</v>
      </c>
      <c r="B1013" s="78" t="s">
        <v>385</v>
      </c>
      <c r="C1013" s="78" t="s">
        <v>1249</v>
      </c>
      <c r="D1013" s="79"/>
      <c r="E1013" s="87"/>
      <c r="F1013" s="80">
        <f t="shared" si="30"/>
        <v>0</v>
      </c>
      <c r="G1013" s="80">
        <f t="shared" si="31"/>
        <v>0</v>
      </c>
      <c r="H1013" s="81"/>
      <c r="I1013" s="81"/>
      <c r="J1013" s="82"/>
    </row>
    <row r="1014" spans="1:10" hidden="1" outlineLevel="2" collapsed="1" x14ac:dyDescent="0.35">
      <c r="A1014" s="74">
        <v>4</v>
      </c>
      <c r="B1014" s="74" t="s">
        <v>392</v>
      </c>
      <c r="C1014" s="74" t="s">
        <v>1250</v>
      </c>
      <c r="D1014" s="75" t="s">
        <v>424</v>
      </c>
      <c r="E1014" s="86" t="str">
        <f>IFERROR(SUBTOTAL(1,E1015:E1022),"")</f>
        <v/>
      </c>
      <c r="F1014" s="74">
        <f t="shared" si="30"/>
        <v>0</v>
      </c>
      <c r="G1014" s="74">
        <f t="shared" si="31"/>
        <v>0</v>
      </c>
      <c r="H1014" s="76">
        <f>MIN(H1015:H1022)</f>
        <v>0</v>
      </c>
      <c r="I1014" s="76">
        <f>MAX(I1015:I1022)</f>
        <v>0</v>
      </c>
      <c r="J1014" s="77"/>
    </row>
    <row r="1015" spans="1:10" hidden="1" outlineLevel="3" x14ac:dyDescent="0.35">
      <c r="A1015" s="78">
        <v>5</v>
      </c>
      <c r="B1015" s="78" t="s">
        <v>385</v>
      </c>
      <c r="C1015" s="78" t="s">
        <v>1251</v>
      </c>
      <c r="D1015" s="79"/>
      <c r="E1015" s="87"/>
      <c r="F1015" s="80">
        <f t="shared" si="30"/>
        <v>0</v>
      </c>
      <c r="G1015" s="80">
        <f t="shared" si="31"/>
        <v>0</v>
      </c>
      <c r="H1015" s="81"/>
      <c r="I1015" s="81"/>
      <c r="J1015" s="82"/>
    </row>
    <row r="1016" spans="1:10" hidden="1" outlineLevel="3" x14ac:dyDescent="0.35">
      <c r="A1016" s="78">
        <v>5</v>
      </c>
      <c r="B1016" s="78" t="s">
        <v>385</v>
      </c>
      <c r="C1016" s="78" t="s">
        <v>1252</v>
      </c>
      <c r="D1016" s="79"/>
      <c r="E1016" s="87"/>
      <c r="F1016" s="80">
        <f t="shared" si="30"/>
        <v>0</v>
      </c>
      <c r="G1016" s="80">
        <f t="shared" si="31"/>
        <v>0</v>
      </c>
      <c r="H1016" s="81"/>
      <c r="I1016" s="81"/>
      <c r="J1016" s="82"/>
    </row>
    <row r="1017" spans="1:10" hidden="1" outlineLevel="3" x14ac:dyDescent="0.35">
      <c r="A1017" s="78">
        <v>5</v>
      </c>
      <c r="B1017" s="78" t="s">
        <v>385</v>
      </c>
      <c r="C1017" s="78" t="s">
        <v>1253</v>
      </c>
      <c r="D1017" s="79"/>
      <c r="E1017" s="87"/>
      <c r="F1017" s="80">
        <f t="shared" si="30"/>
        <v>0</v>
      </c>
      <c r="G1017" s="80">
        <f t="shared" si="31"/>
        <v>0</v>
      </c>
      <c r="H1017" s="81"/>
      <c r="I1017" s="81"/>
      <c r="J1017" s="82"/>
    </row>
    <row r="1018" spans="1:10" hidden="1" outlineLevel="3" x14ac:dyDescent="0.35">
      <c r="A1018" s="78">
        <v>5</v>
      </c>
      <c r="B1018" s="78" t="s">
        <v>385</v>
      </c>
      <c r="C1018" s="78" t="s">
        <v>1254</v>
      </c>
      <c r="D1018" s="79"/>
      <c r="E1018" s="87"/>
      <c r="F1018" s="80">
        <f t="shared" si="30"/>
        <v>0</v>
      </c>
      <c r="G1018" s="80">
        <f t="shared" si="31"/>
        <v>0</v>
      </c>
      <c r="H1018" s="81"/>
      <c r="I1018" s="81"/>
      <c r="J1018" s="82"/>
    </row>
    <row r="1019" spans="1:10" hidden="1" outlineLevel="3" x14ac:dyDescent="0.35">
      <c r="A1019" s="78">
        <v>5</v>
      </c>
      <c r="B1019" s="78" t="s">
        <v>385</v>
      </c>
      <c r="C1019" s="78" t="s">
        <v>1255</v>
      </c>
      <c r="D1019" s="79"/>
      <c r="E1019" s="87"/>
      <c r="F1019" s="80">
        <f t="shared" si="30"/>
        <v>0</v>
      </c>
      <c r="G1019" s="80">
        <f t="shared" si="31"/>
        <v>0</v>
      </c>
      <c r="H1019" s="81"/>
      <c r="I1019" s="81"/>
      <c r="J1019" s="82"/>
    </row>
    <row r="1020" spans="1:10" hidden="1" outlineLevel="3" x14ac:dyDescent="0.35">
      <c r="A1020" s="78">
        <v>5</v>
      </c>
      <c r="B1020" s="78" t="s">
        <v>385</v>
      </c>
      <c r="C1020" s="78" t="s">
        <v>1256</v>
      </c>
      <c r="D1020" s="79"/>
      <c r="E1020" s="87"/>
      <c r="F1020" s="80">
        <f t="shared" si="30"/>
        <v>0</v>
      </c>
      <c r="G1020" s="80">
        <f t="shared" si="31"/>
        <v>0</v>
      </c>
      <c r="H1020" s="81"/>
      <c r="I1020" s="81"/>
      <c r="J1020" s="82"/>
    </row>
    <row r="1021" spans="1:10" hidden="1" outlineLevel="3" x14ac:dyDescent="0.35">
      <c r="A1021" s="78">
        <v>5</v>
      </c>
      <c r="B1021" s="78" t="s">
        <v>385</v>
      </c>
      <c r="C1021" s="78" t="s">
        <v>1257</v>
      </c>
      <c r="D1021" s="79"/>
      <c r="E1021" s="87"/>
      <c r="F1021" s="80">
        <f t="shared" si="30"/>
        <v>0</v>
      </c>
      <c r="G1021" s="80">
        <f t="shared" si="31"/>
        <v>0</v>
      </c>
      <c r="H1021" s="81"/>
      <c r="I1021" s="81"/>
      <c r="J1021" s="82"/>
    </row>
    <row r="1022" spans="1:10" hidden="1" outlineLevel="3" x14ac:dyDescent="0.35">
      <c r="A1022" s="78">
        <v>5</v>
      </c>
      <c r="B1022" s="78" t="s">
        <v>385</v>
      </c>
      <c r="C1022" s="78" t="s">
        <v>1258</v>
      </c>
      <c r="D1022" s="79"/>
      <c r="E1022" s="87"/>
      <c r="F1022" s="80">
        <f t="shared" si="30"/>
        <v>0</v>
      </c>
      <c r="G1022" s="80">
        <f t="shared" si="31"/>
        <v>0</v>
      </c>
      <c r="H1022" s="81"/>
      <c r="I1022" s="81"/>
      <c r="J1022" s="82"/>
    </row>
    <row r="1023" spans="1:10" hidden="1" outlineLevel="2" collapsed="1" x14ac:dyDescent="0.35">
      <c r="A1023" s="74">
        <v>4</v>
      </c>
      <c r="B1023" s="74" t="s">
        <v>392</v>
      </c>
      <c r="C1023" s="74" t="s">
        <v>1259</v>
      </c>
      <c r="D1023" s="75" t="s">
        <v>434</v>
      </c>
      <c r="E1023" s="86" t="str">
        <f>IFERROR(SUBTOTAL(1,E1024:E1031),"")</f>
        <v/>
      </c>
      <c r="F1023" s="74">
        <f t="shared" si="30"/>
        <v>0</v>
      </c>
      <c r="G1023" s="74">
        <f t="shared" si="31"/>
        <v>0</v>
      </c>
      <c r="H1023" s="76">
        <f>MIN(H1024:H1031)</f>
        <v>0</v>
      </c>
      <c r="I1023" s="76">
        <f>MAX(I1024:I1031)</f>
        <v>0</v>
      </c>
      <c r="J1023" s="77"/>
    </row>
    <row r="1024" spans="1:10" hidden="1" outlineLevel="3" x14ac:dyDescent="0.35">
      <c r="A1024" s="78">
        <v>5</v>
      </c>
      <c r="B1024" s="78" t="s">
        <v>385</v>
      </c>
      <c r="C1024" s="78" t="s">
        <v>1260</v>
      </c>
      <c r="D1024" s="79"/>
      <c r="E1024" s="87"/>
      <c r="F1024" s="80">
        <f t="shared" si="30"/>
        <v>0</v>
      </c>
      <c r="G1024" s="80">
        <f t="shared" si="31"/>
        <v>0</v>
      </c>
      <c r="H1024" s="81"/>
      <c r="I1024" s="81"/>
      <c r="J1024" s="82"/>
    </row>
    <row r="1025" spans="1:10" hidden="1" outlineLevel="3" x14ac:dyDescent="0.35">
      <c r="A1025" s="78">
        <v>5</v>
      </c>
      <c r="B1025" s="78" t="s">
        <v>385</v>
      </c>
      <c r="C1025" s="78" t="s">
        <v>1261</v>
      </c>
      <c r="D1025" s="79"/>
      <c r="E1025" s="87"/>
      <c r="F1025" s="80">
        <f t="shared" si="30"/>
        <v>0</v>
      </c>
      <c r="G1025" s="80">
        <f t="shared" si="31"/>
        <v>0</v>
      </c>
      <c r="H1025" s="81"/>
      <c r="I1025" s="81"/>
      <c r="J1025" s="82"/>
    </row>
    <row r="1026" spans="1:10" hidden="1" outlineLevel="3" x14ac:dyDescent="0.35">
      <c r="A1026" s="78">
        <v>5</v>
      </c>
      <c r="B1026" s="78" t="s">
        <v>385</v>
      </c>
      <c r="C1026" s="78" t="s">
        <v>1262</v>
      </c>
      <c r="D1026" s="79"/>
      <c r="E1026" s="87"/>
      <c r="F1026" s="80">
        <f t="shared" si="30"/>
        <v>0</v>
      </c>
      <c r="G1026" s="80">
        <f t="shared" si="31"/>
        <v>0</v>
      </c>
      <c r="H1026" s="81"/>
      <c r="I1026" s="81"/>
      <c r="J1026" s="82"/>
    </row>
    <row r="1027" spans="1:10" hidden="1" outlineLevel="3" x14ac:dyDescent="0.35">
      <c r="A1027" s="78">
        <v>5</v>
      </c>
      <c r="B1027" s="78" t="s">
        <v>385</v>
      </c>
      <c r="C1027" s="78" t="s">
        <v>1263</v>
      </c>
      <c r="D1027" s="79"/>
      <c r="E1027" s="87"/>
      <c r="F1027" s="80">
        <f t="shared" si="30"/>
        <v>0</v>
      </c>
      <c r="G1027" s="80">
        <f t="shared" si="31"/>
        <v>0</v>
      </c>
      <c r="H1027" s="81"/>
      <c r="I1027" s="81"/>
      <c r="J1027" s="82"/>
    </row>
    <row r="1028" spans="1:10" hidden="1" outlineLevel="3" x14ac:dyDescent="0.35">
      <c r="A1028" s="78">
        <v>5</v>
      </c>
      <c r="B1028" s="78" t="s">
        <v>385</v>
      </c>
      <c r="C1028" s="78" t="s">
        <v>1264</v>
      </c>
      <c r="D1028" s="79"/>
      <c r="E1028" s="87"/>
      <c r="F1028" s="80">
        <f t="shared" si="30"/>
        <v>0</v>
      </c>
      <c r="G1028" s="80">
        <f t="shared" si="31"/>
        <v>0</v>
      </c>
      <c r="H1028" s="81"/>
      <c r="I1028" s="81"/>
      <c r="J1028" s="82"/>
    </row>
    <row r="1029" spans="1:10" hidden="1" outlineLevel="3" x14ac:dyDescent="0.35">
      <c r="A1029" s="78">
        <v>5</v>
      </c>
      <c r="B1029" s="78" t="s">
        <v>385</v>
      </c>
      <c r="C1029" s="78" t="s">
        <v>1265</v>
      </c>
      <c r="D1029" s="79"/>
      <c r="E1029" s="87"/>
      <c r="F1029" s="80">
        <f t="shared" si="30"/>
        <v>0</v>
      </c>
      <c r="G1029" s="80">
        <f t="shared" si="31"/>
        <v>0</v>
      </c>
      <c r="H1029" s="81"/>
      <c r="I1029" s="81"/>
      <c r="J1029" s="82"/>
    </row>
    <row r="1030" spans="1:10" hidden="1" outlineLevel="3" x14ac:dyDescent="0.35">
      <c r="A1030" s="78">
        <v>5</v>
      </c>
      <c r="B1030" s="78" t="s">
        <v>385</v>
      </c>
      <c r="C1030" s="78" t="s">
        <v>1266</v>
      </c>
      <c r="D1030" s="79"/>
      <c r="E1030" s="87"/>
      <c r="F1030" s="80">
        <f t="shared" ref="F1030:F1093" si="32">IFERROR(DATEDIF(H1030,I1030,"D"),0)</f>
        <v>0</v>
      </c>
      <c r="G1030" s="80">
        <f t="shared" ref="G1030:G1093" si="33">IFERROR(NETWORKDAYS.INTL(H1030,I1030),0)</f>
        <v>0</v>
      </c>
      <c r="H1030" s="81"/>
      <c r="I1030" s="81"/>
      <c r="J1030" s="82"/>
    </row>
    <row r="1031" spans="1:10" hidden="1" outlineLevel="3" x14ac:dyDescent="0.35">
      <c r="A1031" s="78">
        <v>5</v>
      </c>
      <c r="B1031" s="78" t="s">
        <v>385</v>
      </c>
      <c r="C1031" s="78" t="s">
        <v>1267</v>
      </c>
      <c r="D1031" s="79"/>
      <c r="E1031" s="87"/>
      <c r="F1031" s="80">
        <f t="shared" si="32"/>
        <v>0</v>
      </c>
      <c r="G1031" s="80">
        <f t="shared" si="33"/>
        <v>0</v>
      </c>
      <c r="H1031" s="81"/>
      <c r="I1031" s="81"/>
      <c r="J1031" s="82"/>
    </row>
    <row r="1032" spans="1:10" hidden="1" outlineLevel="2" collapsed="1" x14ac:dyDescent="0.35">
      <c r="A1032" s="74">
        <v>4</v>
      </c>
      <c r="B1032" s="74" t="s">
        <v>392</v>
      </c>
      <c r="C1032" s="74" t="s">
        <v>1268</v>
      </c>
      <c r="D1032" s="75" t="s">
        <v>444</v>
      </c>
      <c r="E1032" s="86" t="str">
        <f>IFERROR(SUBTOTAL(1,E1033:E1040),"")</f>
        <v/>
      </c>
      <c r="F1032" s="74">
        <f t="shared" si="32"/>
        <v>0</v>
      </c>
      <c r="G1032" s="74">
        <f t="shared" si="33"/>
        <v>0</v>
      </c>
      <c r="H1032" s="76">
        <f>MIN(H1033:H1040)</f>
        <v>0</v>
      </c>
      <c r="I1032" s="76">
        <f>MAX(I1033:I1040)</f>
        <v>0</v>
      </c>
      <c r="J1032" s="77"/>
    </row>
    <row r="1033" spans="1:10" hidden="1" outlineLevel="3" x14ac:dyDescent="0.35">
      <c r="A1033" s="78">
        <v>5</v>
      </c>
      <c r="B1033" s="78" t="s">
        <v>385</v>
      </c>
      <c r="C1033" s="78" t="s">
        <v>1478</v>
      </c>
      <c r="D1033" s="79"/>
      <c r="E1033" s="87"/>
      <c r="F1033" s="80">
        <f t="shared" si="32"/>
        <v>0</v>
      </c>
      <c r="G1033" s="80">
        <f t="shared" si="33"/>
        <v>0</v>
      </c>
      <c r="H1033" s="81"/>
      <c r="I1033" s="81"/>
      <c r="J1033" s="82"/>
    </row>
    <row r="1034" spans="1:10" hidden="1" outlineLevel="3" x14ac:dyDescent="0.35">
      <c r="A1034" s="78">
        <v>5</v>
      </c>
      <c r="B1034" s="78" t="s">
        <v>385</v>
      </c>
      <c r="C1034" s="78" t="s">
        <v>1479</v>
      </c>
      <c r="D1034" s="79"/>
      <c r="E1034" s="87"/>
      <c r="F1034" s="80">
        <f t="shared" si="32"/>
        <v>0</v>
      </c>
      <c r="G1034" s="80">
        <f t="shared" si="33"/>
        <v>0</v>
      </c>
      <c r="H1034" s="81"/>
      <c r="I1034" s="81"/>
      <c r="J1034" s="82"/>
    </row>
    <row r="1035" spans="1:10" hidden="1" outlineLevel="3" x14ac:dyDescent="0.35">
      <c r="A1035" s="78">
        <v>5</v>
      </c>
      <c r="B1035" s="78" t="s">
        <v>385</v>
      </c>
      <c r="C1035" s="78" t="s">
        <v>1480</v>
      </c>
      <c r="D1035" s="79"/>
      <c r="E1035" s="87"/>
      <c r="F1035" s="80">
        <f t="shared" si="32"/>
        <v>0</v>
      </c>
      <c r="G1035" s="80">
        <f t="shared" si="33"/>
        <v>0</v>
      </c>
      <c r="H1035" s="81"/>
      <c r="I1035" s="81"/>
      <c r="J1035" s="82"/>
    </row>
    <row r="1036" spans="1:10" hidden="1" outlineLevel="3" x14ac:dyDescent="0.35">
      <c r="A1036" s="78">
        <v>5</v>
      </c>
      <c r="B1036" s="78" t="s">
        <v>385</v>
      </c>
      <c r="C1036" s="78" t="s">
        <v>1481</v>
      </c>
      <c r="D1036" s="79"/>
      <c r="E1036" s="87"/>
      <c r="F1036" s="80">
        <f t="shared" si="32"/>
        <v>0</v>
      </c>
      <c r="G1036" s="80">
        <f t="shared" si="33"/>
        <v>0</v>
      </c>
      <c r="H1036" s="81"/>
      <c r="I1036" s="81"/>
      <c r="J1036" s="82"/>
    </row>
    <row r="1037" spans="1:10" hidden="1" outlineLevel="3" x14ac:dyDescent="0.35">
      <c r="A1037" s="78">
        <v>5</v>
      </c>
      <c r="B1037" s="78" t="s">
        <v>385</v>
      </c>
      <c r="C1037" s="78" t="s">
        <v>1482</v>
      </c>
      <c r="D1037" s="79"/>
      <c r="E1037" s="87"/>
      <c r="F1037" s="80">
        <f t="shared" si="32"/>
        <v>0</v>
      </c>
      <c r="G1037" s="80">
        <f t="shared" si="33"/>
        <v>0</v>
      </c>
      <c r="H1037" s="81"/>
      <c r="I1037" s="81"/>
      <c r="J1037" s="82"/>
    </row>
    <row r="1038" spans="1:10" hidden="1" outlineLevel="3" x14ac:dyDescent="0.35">
      <c r="A1038" s="78">
        <v>5</v>
      </c>
      <c r="B1038" s="78" t="s">
        <v>385</v>
      </c>
      <c r="C1038" s="78" t="s">
        <v>1483</v>
      </c>
      <c r="D1038" s="79"/>
      <c r="E1038" s="87"/>
      <c r="F1038" s="80">
        <f t="shared" si="32"/>
        <v>0</v>
      </c>
      <c r="G1038" s="80">
        <f t="shared" si="33"/>
        <v>0</v>
      </c>
      <c r="H1038" s="81"/>
      <c r="I1038" s="81"/>
      <c r="J1038" s="82"/>
    </row>
    <row r="1039" spans="1:10" hidden="1" outlineLevel="3" x14ac:dyDescent="0.35">
      <c r="A1039" s="78">
        <v>5</v>
      </c>
      <c r="B1039" s="78" t="s">
        <v>385</v>
      </c>
      <c r="C1039" s="78" t="s">
        <v>1484</v>
      </c>
      <c r="D1039" s="79"/>
      <c r="E1039" s="87"/>
      <c r="F1039" s="80">
        <f t="shared" si="32"/>
        <v>0</v>
      </c>
      <c r="G1039" s="80">
        <f t="shared" si="33"/>
        <v>0</v>
      </c>
      <c r="H1039" s="81"/>
      <c r="I1039" s="81"/>
      <c r="J1039" s="82"/>
    </row>
    <row r="1040" spans="1:10" hidden="1" outlineLevel="3" x14ac:dyDescent="0.35">
      <c r="A1040" s="78">
        <v>5</v>
      </c>
      <c r="B1040" s="78" t="s">
        <v>385</v>
      </c>
      <c r="C1040" s="78" t="s">
        <v>1485</v>
      </c>
      <c r="D1040" s="79"/>
      <c r="E1040" s="87"/>
      <c r="F1040" s="80">
        <f t="shared" si="32"/>
        <v>0</v>
      </c>
      <c r="G1040" s="80">
        <f t="shared" si="33"/>
        <v>0</v>
      </c>
      <c r="H1040" s="81"/>
      <c r="I1040" s="81"/>
      <c r="J1040" s="82"/>
    </row>
    <row r="1041" spans="1:10" outlineLevel="1" collapsed="1" x14ac:dyDescent="0.35">
      <c r="A1041" s="67">
        <v>3</v>
      </c>
      <c r="B1041" s="67" t="s">
        <v>298</v>
      </c>
      <c r="C1041" s="67" t="s">
        <v>1269</v>
      </c>
      <c r="D1041" s="73" t="s">
        <v>1222</v>
      </c>
      <c r="E1041" s="85" t="str">
        <f>IFERROR(AVERAGE(E1042,E1051,E1060,E1069,E1078,E1087),"")</f>
        <v/>
      </c>
      <c r="F1041" s="67">
        <f t="shared" si="32"/>
        <v>0</v>
      </c>
      <c r="G1041" s="67">
        <f t="shared" si="33"/>
        <v>0</v>
      </c>
      <c r="H1041" s="72">
        <f>MIN(H1042,H1051,H1060,H1069,H1078,H1087)</f>
        <v>0</v>
      </c>
      <c r="I1041" s="72">
        <f>MAX(I1042,I1051,I1060,I1069,I1078,I1087)</f>
        <v>0</v>
      </c>
      <c r="J1041" s="71"/>
    </row>
    <row r="1042" spans="1:10" hidden="1" outlineLevel="2" collapsed="1" x14ac:dyDescent="0.35">
      <c r="A1042" s="74">
        <v>4</v>
      </c>
      <c r="B1042" s="74" t="s">
        <v>392</v>
      </c>
      <c r="C1042" s="74" t="s">
        <v>1271</v>
      </c>
      <c r="D1042" s="75" t="s">
        <v>394</v>
      </c>
      <c r="E1042" s="86" t="str">
        <f>IFERROR(SUBTOTAL(1,E1043:E1050),"")</f>
        <v/>
      </c>
      <c r="F1042" s="74">
        <f t="shared" si="32"/>
        <v>0</v>
      </c>
      <c r="G1042" s="74">
        <f t="shared" si="33"/>
        <v>0</v>
      </c>
      <c r="H1042" s="76">
        <f>MIN(H1043:H1050)</f>
        <v>0</v>
      </c>
      <c r="I1042" s="76">
        <f>MAX(I1043:I1050)</f>
        <v>0</v>
      </c>
      <c r="J1042" s="77"/>
    </row>
    <row r="1043" spans="1:10" hidden="1" outlineLevel="3" x14ac:dyDescent="0.35">
      <c r="A1043" s="78">
        <v>5</v>
      </c>
      <c r="B1043" s="78" t="s">
        <v>385</v>
      </c>
      <c r="C1043" s="78" t="s">
        <v>1272</v>
      </c>
      <c r="D1043" s="79" t="s">
        <v>27</v>
      </c>
      <c r="E1043" s="87"/>
      <c r="F1043" s="80">
        <f t="shared" si="32"/>
        <v>0</v>
      </c>
      <c r="G1043" s="80">
        <f t="shared" si="33"/>
        <v>0</v>
      </c>
      <c r="H1043" s="81"/>
      <c r="I1043" s="81"/>
      <c r="J1043" s="82"/>
    </row>
    <row r="1044" spans="1:10" hidden="1" outlineLevel="3" x14ac:dyDescent="0.35">
      <c r="A1044" s="78">
        <v>5</v>
      </c>
      <c r="B1044" s="78" t="s">
        <v>385</v>
      </c>
      <c r="C1044" s="78" t="s">
        <v>1273</v>
      </c>
      <c r="D1044" s="79" t="s">
        <v>323</v>
      </c>
      <c r="E1044" s="87"/>
      <c r="F1044" s="80">
        <f t="shared" si="32"/>
        <v>0</v>
      </c>
      <c r="G1044" s="80">
        <f t="shared" si="33"/>
        <v>0</v>
      </c>
      <c r="H1044" s="81"/>
      <c r="I1044" s="81"/>
      <c r="J1044" s="82"/>
    </row>
    <row r="1045" spans="1:10" hidden="1" outlineLevel="3" x14ac:dyDescent="0.35">
      <c r="A1045" s="78">
        <v>5</v>
      </c>
      <c r="B1045" s="78" t="s">
        <v>385</v>
      </c>
      <c r="C1045" s="78" t="s">
        <v>1274</v>
      </c>
      <c r="D1045" s="79" t="s">
        <v>324</v>
      </c>
      <c r="E1045" s="87"/>
      <c r="F1045" s="80">
        <f t="shared" si="32"/>
        <v>0</v>
      </c>
      <c r="G1045" s="80">
        <f t="shared" si="33"/>
        <v>0</v>
      </c>
      <c r="H1045" s="81"/>
      <c r="I1045" s="81"/>
      <c r="J1045" s="82"/>
    </row>
    <row r="1046" spans="1:10" hidden="1" outlineLevel="3" x14ac:dyDescent="0.35">
      <c r="A1046" s="78">
        <v>5</v>
      </c>
      <c r="B1046" s="78" t="s">
        <v>385</v>
      </c>
      <c r="C1046" s="78" t="s">
        <v>1275</v>
      </c>
      <c r="D1046" s="79" t="s">
        <v>366</v>
      </c>
      <c r="E1046" s="87"/>
      <c r="F1046" s="80">
        <f t="shared" si="32"/>
        <v>0</v>
      </c>
      <c r="G1046" s="80">
        <f t="shared" si="33"/>
        <v>0</v>
      </c>
      <c r="H1046" s="81"/>
      <c r="I1046" s="81"/>
      <c r="J1046" s="82"/>
    </row>
    <row r="1047" spans="1:10" hidden="1" outlineLevel="3" x14ac:dyDescent="0.35">
      <c r="A1047" s="78">
        <v>5</v>
      </c>
      <c r="B1047" s="78" t="s">
        <v>385</v>
      </c>
      <c r="C1047" s="78" t="s">
        <v>1276</v>
      </c>
      <c r="D1047" s="79"/>
      <c r="E1047" s="87"/>
      <c r="F1047" s="80">
        <f t="shared" si="32"/>
        <v>0</v>
      </c>
      <c r="G1047" s="80">
        <f t="shared" si="33"/>
        <v>0</v>
      </c>
      <c r="H1047" s="81"/>
      <c r="I1047" s="81"/>
      <c r="J1047" s="82"/>
    </row>
    <row r="1048" spans="1:10" hidden="1" outlineLevel="3" x14ac:dyDescent="0.35">
      <c r="A1048" s="78">
        <v>5</v>
      </c>
      <c r="B1048" s="78" t="s">
        <v>385</v>
      </c>
      <c r="C1048" s="78" t="s">
        <v>1277</v>
      </c>
      <c r="D1048" s="79"/>
      <c r="E1048" s="87"/>
      <c r="F1048" s="80">
        <f t="shared" si="32"/>
        <v>0</v>
      </c>
      <c r="G1048" s="80">
        <f t="shared" si="33"/>
        <v>0</v>
      </c>
      <c r="H1048" s="81"/>
      <c r="I1048" s="81"/>
      <c r="J1048" s="82"/>
    </row>
    <row r="1049" spans="1:10" hidden="1" outlineLevel="3" x14ac:dyDescent="0.35">
      <c r="A1049" s="78">
        <v>5</v>
      </c>
      <c r="B1049" s="78" t="s">
        <v>385</v>
      </c>
      <c r="C1049" s="78" t="s">
        <v>1278</v>
      </c>
      <c r="D1049" s="79"/>
      <c r="E1049" s="87"/>
      <c r="F1049" s="80">
        <f t="shared" si="32"/>
        <v>0</v>
      </c>
      <c r="G1049" s="80">
        <f t="shared" si="33"/>
        <v>0</v>
      </c>
      <c r="H1049" s="81"/>
      <c r="I1049" s="81"/>
      <c r="J1049" s="82"/>
    </row>
    <row r="1050" spans="1:10" hidden="1" outlineLevel="3" x14ac:dyDescent="0.35">
      <c r="A1050" s="78">
        <v>5</v>
      </c>
      <c r="B1050" s="78" t="s">
        <v>385</v>
      </c>
      <c r="C1050" s="78" t="s">
        <v>1279</v>
      </c>
      <c r="D1050" s="79"/>
      <c r="E1050" s="87"/>
      <c r="F1050" s="80">
        <f t="shared" si="32"/>
        <v>0</v>
      </c>
      <c r="G1050" s="80">
        <f t="shared" si="33"/>
        <v>0</v>
      </c>
      <c r="H1050" s="81"/>
      <c r="I1050" s="81"/>
      <c r="J1050" s="82"/>
    </row>
    <row r="1051" spans="1:10" hidden="1" outlineLevel="2" collapsed="1" x14ac:dyDescent="0.35">
      <c r="A1051" s="74">
        <v>4</v>
      </c>
      <c r="B1051" s="74" t="s">
        <v>392</v>
      </c>
      <c r="C1051" s="74" t="s">
        <v>1280</v>
      </c>
      <c r="D1051" s="75" t="s">
        <v>404</v>
      </c>
      <c r="E1051" s="86" t="str">
        <f>IFERROR(SUBTOTAL(1,E1052:E1059),"")</f>
        <v/>
      </c>
      <c r="F1051" s="74">
        <f t="shared" si="32"/>
        <v>0</v>
      </c>
      <c r="G1051" s="74">
        <f t="shared" si="33"/>
        <v>0</v>
      </c>
      <c r="H1051" s="76">
        <f>MIN(H1052:H1059)</f>
        <v>0</v>
      </c>
      <c r="I1051" s="76">
        <f>MAX(I1052:I1059)</f>
        <v>0</v>
      </c>
      <c r="J1051" s="77"/>
    </row>
    <row r="1052" spans="1:10" hidden="1" outlineLevel="3" x14ac:dyDescent="0.35">
      <c r="A1052" s="78">
        <v>5</v>
      </c>
      <c r="B1052" s="78" t="s">
        <v>385</v>
      </c>
      <c r="C1052" s="78" t="s">
        <v>1281</v>
      </c>
      <c r="D1052" s="79"/>
      <c r="E1052" s="87"/>
      <c r="F1052" s="80">
        <f t="shared" si="32"/>
        <v>0</v>
      </c>
      <c r="G1052" s="80">
        <f t="shared" si="33"/>
        <v>0</v>
      </c>
      <c r="H1052" s="81"/>
      <c r="I1052" s="81"/>
      <c r="J1052" s="82"/>
    </row>
    <row r="1053" spans="1:10" hidden="1" outlineLevel="3" x14ac:dyDescent="0.35">
      <c r="A1053" s="78">
        <v>5</v>
      </c>
      <c r="B1053" s="78" t="s">
        <v>385</v>
      </c>
      <c r="C1053" s="78" t="s">
        <v>1282</v>
      </c>
      <c r="D1053" s="79"/>
      <c r="E1053" s="87"/>
      <c r="F1053" s="80">
        <f t="shared" si="32"/>
        <v>0</v>
      </c>
      <c r="G1053" s="80">
        <f t="shared" si="33"/>
        <v>0</v>
      </c>
      <c r="H1053" s="81"/>
      <c r="I1053" s="81"/>
      <c r="J1053" s="82"/>
    </row>
    <row r="1054" spans="1:10" hidden="1" outlineLevel="3" x14ac:dyDescent="0.35">
      <c r="A1054" s="78">
        <v>5</v>
      </c>
      <c r="B1054" s="78" t="s">
        <v>385</v>
      </c>
      <c r="C1054" s="78" t="s">
        <v>1283</v>
      </c>
      <c r="D1054" s="79"/>
      <c r="E1054" s="87"/>
      <c r="F1054" s="80">
        <f t="shared" si="32"/>
        <v>0</v>
      </c>
      <c r="G1054" s="80">
        <f t="shared" si="33"/>
        <v>0</v>
      </c>
      <c r="H1054" s="81"/>
      <c r="I1054" s="81"/>
      <c r="J1054" s="82"/>
    </row>
    <row r="1055" spans="1:10" hidden="1" outlineLevel="3" x14ac:dyDescent="0.35">
      <c r="A1055" s="78">
        <v>5</v>
      </c>
      <c r="B1055" s="78" t="s">
        <v>385</v>
      </c>
      <c r="C1055" s="78" t="s">
        <v>1284</v>
      </c>
      <c r="D1055" s="79"/>
      <c r="E1055" s="87"/>
      <c r="F1055" s="80">
        <f t="shared" si="32"/>
        <v>0</v>
      </c>
      <c r="G1055" s="80">
        <f t="shared" si="33"/>
        <v>0</v>
      </c>
      <c r="H1055" s="81"/>
      <c r="I1055" s="81"/>
      <c r="J1055" s="82"/>
    </row>
    <row r="1056" spans="1:10" hidden="1" outlineLevel="3" x14ac:dyDescent="0.35">
      <c r="A1056" s="78">
        <v>5</v>
      </c>
      <c r="B1056" s="78" t="s">
        <v>385</v>
      </c>
      <c r="C1056" s="78" t="s">
        <v>1285</v>
      </c>
      <c r="D1056" s="79"/>
      <c r="E1056" s="87"/>
      <c r="F1056" s="80">
        <f t="shared" si="32"/>
        <v>0</v>
      </c>
      <c r="G1056" s="80">
        <f t="shared" si="33"/>
        <v>0</v>
      </c>
      <c r="H1056" s="81"/>
      <c r="I1056" s="81"/>
      <c r="J1056" s="82"/>
    </row>
    <row r="1057" spans="1:10" hidden="1" outlineLevel="3" x14ac:dyDescent="0.35">
      <c r="A1057" s="78">
        <v>5</v>
      </c>
      <c r="B1057" s="78" t="s">
        <v>385</v>
      </c>
      <c r="C1057" s="78" t="s">
        <v>1286</v>
      </c>
      <c r="D1057" s="79"/>
      <c r="E1057" s="87"/>
      <c r="F1057" s="80">
        <f t="shared" si="32"/>
        <v>0</v>
      </c>
      <c r="G1057" s="80">
        <f t="shared" si="33"/>
        <v>0</v>
      </c>
      <c r="H1057" s="81"/>
      <c r="I1057" s="81"/>
      <c r="J1057" s="82"/>
    </row>
    <row r="1058" spans="1:10" hidden="1" outlineLevel="3" x14ac:dyDescent="0.35">
      <c r="A1058" s="78">
        <v>5</v>
      </c>
      <c r="B1058" s="78" t="s">
        <v>385</v>
      </c>
      <c r="C1058" s="78" t="s">
        <v>1287</v>
      </c>
      <c r="D1058" s="79"/>
      <c r="E1058" s="87"/>
      <c r="F1058" s="80">
        <f t="shared" si="32"/>
        <v>0</v>
      </c>
      <c r="G1058" s="80">
        <f t="shared" si="33"/>
        <v>0</v>
      </c>
      <c r="H1058" s="81"/>
      <c r="I1058" s="81"/>
      <c r="J1058" s="82"/>
    </row>
    <row r="1059" spans="1:10" hidden="1" outlineLevel="3" x14ac:dyDescent="0.35">
      <c r="A1059" s="78">
        <v>5</v>
      </c>
      <c r="B1059" s="78" t="s">
        <v>385</v>
      </c>
      <c r="C1059" s="78" t="s">
        <v>1288</v>
      </c>
      <c r="D1059" s="79"/>
      <c r="E1059" s="87"/>
      <c r="F1059" s="80">
        <f t="shared" si="32"/>
        <v>0</v>
      </c>
      <c r="G1059" s="80">
        <f t="shared" si="33"/>
        <v>0</v>
      </c>
      <c r="H1059" s="81"/>
      <c r="I1059" s="81"/>
      <c r="J1059" s="82"/>
    </row>
    <row r="1060" spans="1:10" hidden="1" outlineLevel="2" collapsed="1" x14ac:dyDescent="0.35">
      <c r="A1060" s="74">
        <v>4</v>
      </c>
      <c r="B1060" s="74" t="s">
        <v>392</v>
      </c>
      <c r="C1060" s="74" t="s">
        <v>1289</v>
      </c>
      <c r="D1060" s="75" t="s">
        <v>414</v>
      </c>
      <c r="E1060" s="86" t="str">
        <f>IFERROR(SUBTOTAL(1,E1061:E1068),"")</f>
        <v/>
      </c>
      <c r="F1060" s="74">
        <f t="shared" si="32"/>
        <v>0</v>
      </c>
      <c r="G1060" s="74">
        <f t="shared" si="33"/>
        <v>0</v>
      </c>
      <c r="H1060" s="76">
        <f>MIN(H1061:H1068)</f>
        <v>0</v>
      </c>
      <c r="I1060" s="76">
        <f>MAX(I1061:I1068)</f>
        <v>0</v>
      </c>
      <c r="J1060" s="77"/>
    </row>
    <row r="1061" spans="1:10" hidden="1" outlineLevel="3" x14ac:dyDescent="0.35">
      <c r="A1061" s="78">
        <v>5</v>
      </c>
      <c r="B1061" s="78" t="s">
        <v>385</v>
      </c>
      <c r="C1061" s="78" t="s">
        <v>1290</v>
      </c>
      <c r="D1061" s="79"/>
      <c r="E1061" s="87"/>
      <c r="F1061" s="80">
        <f t="shared" si="32"/>
        <v>0</v>
      </c>
      <c r="G1061" s="80">
        <f t="shared" si="33"/>
        <v>0</v>
      </c>
      <c r="H1061" s="81"/>
      <c r="I1061" s="81"/>
      <c r="J1061" s="82"/>
    </row>
    <row r="1062" spans="1:10" hidden="1" outlineLevel="3" x14ac:dyDescent="0.35">
      <c r="A1062" s="78">
        <v>5</v>
      </c>
      <c r="B1062" s="78" t="s">
        <v>385</v>
      </c>
      <c r="C1062" s="78" t="s">
        <v>1291</v>
      </c>
      <c r="D1062" s="79"/>
      <c r="E1062" s="87"/>
      <c r="F1062" s="80">
        <f t="shared" si="32"/>
        <v>0</v>
      </c>
      <c r="G1062" s="80">
        <f t="shared" si="33"/>
        <v>0</v>
      </c>
      <c r="H1062" s="81"/>
      <c r="I1062" s="81"/>
      <c r="J1062" s="82"/>
    </row>
    <row r="1063" spans="1:10" hidden="1" outlineLevel="3" x14ac:dyDescent="0.35">
      <c r="A1063" s="78">
        <v>5</v>
      </c>
      <c r="B1063" s="78" t="s">
        <v>385</v>
      </c>
      <c r="C1063" s="78" t="s">
        <v>1292</v>
      </c>
      <c r="D1063" s="79"/>
      <c r="E1063" s="87"/>
      <c r="F1063" s="80">
        <f t="shared" si="32"/>
        <v>0</v>
      </c>
      <c r="G1063" s="80">
        <f t="shared" si="33"/>
        <v>0</v>
      </c>
      <c r="H1063" s="81"/>
      <c r="I1063" s="81"/>
      <c r="J1063" s="82"/>
    </row>
    <row r="1064" spans="1:10" hidden="1" outlineLevel="3" x14ac:dyDescent="0.35">
      <c r="A1064" s="78">
        <v>5</v>
      </c>
      <c r="B1064" s="78" t="s">
        <v>385</v>
      </c>
      <c r="C1064" s="78" t="s">
        <v>1293</v>
      </c>
      <c r="D1064" s="79"/>
      <c r="E1064" s="87"/>
      <c r="F1064" s="80">
        <f t="shared" si="32"/>
        <v>0</v>
      </c>
      <c r="G1064" s="80">
        <f t="shared" si="33"/>
        <v>0</v>
      </c>
      <c r="H1064" s="81"/>
      <c r="I1064" s="81"/>
      <c r="J1064" s="82"/>
    </row>
    <row r="1065" spans="1:10" hidden="1" outlineLevel="3" x14ac:dyDescent="0.35">
      <c r="A1065" s="78">
        <v>5</v>
      </c>
      <c r="B1065" s="78" t="s">
        <v>385</v>
      </c>
      <c r="C1065" s="78" t="s">
        <v>1294</v>
      </c>
      <c r="D1065" s="79"/>
      <c r="E1065" s="87"/>
      <c r="F1065" s="80">
        <f t="shared" si="32"/>
        <v>0</v>
      </c>
      <c r="G1065" s="80">
        <f t="shared" si="33"/>
        <v>0</v>
      </c>
      <c r="H1065" s="81"/>
      <c r="I1065" s="81"/>
      <c r="J1065" s="82"/>
    </row>
    <row r="1066" spans="1:10" hidden="1" outlineLevel="3" x14ac:dyDescent="0.35">
      <c r="A1066" s="78">
        <v>5</v>
      </c>
      <c r="B1066" s="78" t="s">
        <v>385</v>
      </c>
      <c r="C1066" s="78" t="s">
        <v>1295</v>
      </c>
      <c r="D1066" s="79"/>
      <c r="E1066" s="87"/>
      <c r="F1066" s="80">
        <f t="shared" si="32"/>
        <v>0</v>
      </c>
      <c r="G1066" s="80">
        <f t="shared" si="33"/>
        <v>0</v>
      </c>
      <c r="H1066" s="81"/>
      <c r="I1066" s="81"/>
      <c r="J1066" s="82"/>
    </row>
    <row r="1067" spans="1:10" hidden="1" outlineLevel="3" x14ac:dyDescent="0.35">
      <c r="A1067" s="78">
        <v>5</v>
      </c>
      <c r="B1067" s="78" t="s">
        <v>385</v>
      </c>
      <c r="C1067" s="78" t="s">
        <v>1296</v>
      </c>
      <c r="D1067" s="79"/>
      <c r="E1067" s="87"/>
      <c r="F1067" s="80">
        <f t="shared" si="32"/>
        <v>0</v>
      </c>
      <c r="G1067" s="80">
        <f t="shared" si="33"/>
        <v>0</v>
      </c>
      <c r="H1067" s="81"/>
      <c r="I1067" s="81"/>
      <c r="J1067" s="82"/>
    </row>
    <row r="1068" spans="1:10" hidden="1" outlineLevel="3" x14ac:dyDescent="0.35">
      <c r="A1068" s="78">
        <v>5</v>
      </c>
      <c r="B1068" s="78" t="s">
        <v>385</v>
      </c>
      <c r="C1068" s="78" t="s">
        <v>1297</v>
      </c>
      <c r="D1068" s="79"/>
      <c r="E1068" s="87"/>
      <c r="F1068" s="80">
        <f t="shared" si="32"/>
        <v>0</v>
      </c>
      <c r="G1068" s="80">
        <f t="shared" si="33"/>
        <v>0</v>
      </c>
      <c r="H1068" s="81"/>
      <c r="I1068" s="81"/>
      <c r="J1068" s="82"/>
    </row>
    <row r="1069" spans="1:10" hidden="1" outlineLevel="2" collapsed="1" x14ac:dyDescent="0.35">
      <c r="A1069" s="74">
        <v>4</v>
      </c>
      <c r="B1069" s="74" t="s">
        <v>392</v>
      </c>
      <c r="C1069" s="74" t="s">
        <v>1298</v>
      </c>
      <c r="D1069" s="75" t="s">
        <v>424</v>
      </c>
      <c r="E1069" s="86" t="str">
        <f>IFERROR(SUBTOTAL(1,E1070:E1077),"")</f>
        <v/>
      </c>
      <c r="F1069" s="74">
        <f t="shared" si="32"/>
        <v>0</v>
      </c>
      <c r="G1069" s="74">
        <f t="shared" si="33"/>
        <v>0</v>
      </c>
      <c r="H1069" s="76">
        <f>MIN(H1070:H1077)</f>
        <v>0</v>
      </c>
      <c r="I1069" s="76">
        <f>MAX(I1070:I1077)</f>
        <v>0</v>
      </c>
      <c r="J1069" s="77"/>
    </row>
    <row r="1070" spans="1:10" hidden="1" outlineLevel="3" x14ac:dyDescent="0.35">
      <c r="A1070" s="78">
        <v>5</v>
      </c>
      <c r="B1070" s="78" t="s">
        <v>385</v>
      </c>
      <c r="C1070" s="78" t="s">
        <v>1299</v>
      </c>
      <c r="D1070" s="79"/>
      <c r="E1070" s="87"/>
      <c r="F1070" s="80">
        <f t="shared" si="32"/>
        <v>0</v>
      </c>
      <c r="G1070" s="80">
        <f t="shared" si="33"/>
        <v>0</v>
      </c>
      <c r="H1070" s="81"/>
      <c r="I1070" s="81"/>
      <c r="J1070" s="82"/>
    </row>
    <row r="1071" spans="1:10" hidden="1" outlineLevel="3" x14ac:dyDescent="0.35">
      <c r="A1071" s="78">
        <v>5</v>
      </c>
      <c r="B1071" s="78" t="s">
        <v>385</v>
      </c>
      <c r="C1071" s="78" t="s">
        <v>1300</v>
      </c>
      <c r="D1071" s="79"/>
      <c r="E1071" s="87"/>
      <c r="F1071" s="80">
        <f t="shared" si="32"/>
        <v>0</v>
      </c>
      <c r="G1071" s="80">
        <f t="shared" si="33"/>
        <v>0</v>
      </c>
      <c r="H1071" s="81"/>
      <c r="I1071" s="81"/>
      <c r="J1071" s="82"/>
    </row>
    <row r="1072" spans="1:10" hidden="1" outlineLevel="3" x14ac:dyDescent="0.35">
      <c r="A1072" s="78">
        <v>5</v>
      </c>
      <c r="B1072" s="78" t="s">
        <v>385</v>
      </c>
      <c r="C1072" s="78" t="s">
        <v>1301</v>
      </c>
      <c r="D1072" s="79"/>
      <c r="E1072" s="87"/>
      <c r="F1072" s="80">
        <f t="shared" si="32"/>
        <v>0</v>
      </c>
      <c r="G1072" s="80">
        <f t="shared" si="33"/>
        <v>0</v>
      </c>
      <c r="H1072" s="81"/>
      <c r="I1072" s="81"/>
      <c r="J1072" s="82"/>
    </row>
    <row r="1073" spans="1:10" hidden="1" outlineLevel="3" x14ac:dyDescent="0.35">
      <c r="A1073" s="78">
        <v>5</v>
      </c>
      <c r="B1073" s="78" t="s">
        <v>385</v>
      </c>
      <c r="C1073" s="78" t="s">
        <v>1302</v>
      </c>
      <c r="D1073" s="79"/>
      <c r="E1073" s="87"/>
      <c r="F1073" s="80">
        <f t="shared" si="32"/>
        <v>0</v>
      </c>
      <c r="G1073" s="80">
        <f t="shared" si="33"/>
        <v>0</v>
      </c>
      <c r="H1073" s="81"/>
      <c r="I1073" s="81"/>
      <c r="J1073" s="82"/>
    </row>
    <row r="1074" spans="1:10" hidden="1" outlineLevel="3" x14ac:dyDescent="0.35">
      <c r="A1074" s="78">
        <v>5</v>
      </c>
      <c r="B1074" s="78" t="s">
        <v>385</v>
      </c>
      <c r="C1074" s="78" t="s">
        <v>1303</v>
      </c>
      <c r="D1074" s="79"/>
      <c r="E1074" s="87"/>
      <c r="F1074" s="80">
        <f t="shared" si="32"/>
        <v>0</v>
      </c>
      <c r="G1074" s="80">
        <f t="shared" si="33"/>
        <v>0</v>
      </c>
      <c r="H1074" s="81"/>
      <c r="I1074" s="81"/>
      <c r="J1074" s="82"/>
    </row>
    <row r="1075" spans="1:10" hidden="1" outlineLevel="3" x14ac:dyDescent="0.35">
      <c r="A1075" s="78">
        <v>5</v>
      </c>
      <c r="B1075" s="78" t="s">
        <v>385</v>
      </c>
      <c r="C1075" s="78" t="s">
        <v>1304</v>
      </c>
      <c r="D1075" s="79"/>
      <c r="E1075" s="87"/>
      <c r="F1075" s="80">
        <f t="shared" si="32"/>
        <v>0</v>
      </c>
      <c r="G1075" s="80">
        <f t="shared" si="33"/>
        <v>0</v>
      </c>
      <c r="H1075" s="81"/>
      <c r="I1075" s="81"/>
      <c r="J1075" s="82"/>
    </row>
    <row r="1076" spans="1:10" hidden="1" outlineLevel="3" x14ac:dyDescent="0.35">
      <c r="A1076" s="78">
        <v>5</v>
      </c>
      <c r="B1076" s="78" t="s">
        <v>385</v>
      </c>
      <c r="C1076" s="78" t="s">
        <v>1305</v>
      </c>
      <c r="D1076" s="79"/>
      <c r="E1076" s="87"/>
      <c r="F1076" s="80">
        <f t="shared" si="32"/>
        <v>0</v>
      </c>
      <c r="G1076" s="80">
        <f t="shared" si="33"/>
        <v>0</v>
      </c>
      <c r="H1076" s="81"/>
      <c r="I1076" s="81"/>
      <c r="J1076" s="82"/>
    </row>
    <row r="1077" spans="1:10" hidden="1" outlineLevel="3" x14ac:dyDescent="0.35">
      <c r="A1077" s="78">
        <v>5</v>
      </c>
      <c r="B1077" s="78" t="s">
        <v>385</v>
      </c>
      <c r="C1077" s="78" t="s">
        <v>1306</v>
      </c>
      <c r="D1077" s="79"/>
      <c r="E1077" s="87"/>
      <c r="F1077" s="80">
        <f t="shared" si="32"/>
        <v>0</v>
      </c>
      <c r="G1077" s="80">
        <f t="shared" si="33"/>
        <v>0</v>
      </c>
      <c r="H1077" s="81"/>
      <c r="I1077" s="81"/>
      <c r="J1077" s="82"/>
    </row>
    <row r="1078" spans="1:10" hidden="1" outlineLevel="2" collapsed="1" x14ac:dyDescent="0.35">
      <c r="A1078" s="74">
        <v>4</v>
      </c>
      <c r="B1078" s="74" t="s">
        <v>392</v>
      </c>
      <c r="C1078" s="74" t="s">
        <v>1307</v>
      </c>
      <c r="D1078" s="75" t="s">
        <v>434</v>
      </c>
      <c r="E1078" s="86" t="str">
        <f>IFERROR(SUBTOTAL(1,E1079:E1086),"")</f>
        <v/>
      </c>
      <c r="F1078" s="74">
        <f t="shared" si="32"/>
        <v>0</v>
      </c>
      <c r="G1078" s="74">
        <f t="shared" si="33"/>
        <v>0</v>
      </c>
      <c r="H1078" s="76">
        <f>MIN(H1079:H1086)</f>
        <v>0</v>
      </c>
      <c r="I1078" s="76">
        <f>MAX(I1079:I1086)</f>
        <v>0</v>
      </c>
      <c r="J1078" s="77"/>
    </row>
    <row r="1079" spans="1:10" hidden="1" outlineLevel="3" x14ac:dyDescent="0.35">
      <c r="A1079" s="78">
        <v>5</v>
      </c>
      <c r="B1079" s="78" t="s">
        <v>385</v>
      </c>
      <c r="C1079" s="78" t="s">
        <v>1308</v>
      </c>
      <c r="D1079" s="79"/>
      <c r="E1079" s="87"/>
      <c r="F1079" s="80">
        <f t="shared" si="32"/>
        <v>0</v>
      </c>
      <c r="G1079" s="80">
        <f t="shared" si="33"/>
        <v>0</v>
      </c>
      <c r="H1079" s="81"/>
      <c r="I1079" s="81"/>
      <c r="J1079" s="82"/>
    </row>
    <row r="1080" spans="1:10" hidden="1" outlineLevel="3" x14ac:dyDescent="0.35">
      <c r="A1080" s="78">
        <v>5</v>
      </c>
      <c r="B1080" s="78" t="s">
        <v>385</v>
      </c>
      <c r="C1080" s="78" t="s">
        <v>1309</v>
      </c>
      <c r="D1080" s="79"/>
      <c r="E1080" s="87"/>
      <c r="F1080" s="80">
        <f t="shared" si="32"/>
        <v>0</v>
      </c>
      <c r="G1080" s="80">
        <f t="shared" si="33"/>
        <v>0</v>
      </c>
      <c r="H1080" s="81"/>
      <c r="I1080" s="81"/>
      <c r="J1080" s="82"/>
    </row>
    <row r="1081" spans="1:10" hidden="1" outlineLevel="3" x14ac:dyDescent="0.35">
      <c r="A1081" s="78">
        <v>5</v>
      </c>
      <c r="B1081" s="78" t="s">
        <v>385</v>
      </c>
      <c r="C1081" s="78" t="s">
        <v>1310</v>
      </c>
      <c r="D1081" s="79"/>
      <c r="E1081" s="87"/>
      <c r="F1081" s="80">
        <f t="shared" si="32"/>
        <v>0</v>
      </c>
      <c r="G1081" s="80">
        <f t="shared" si="33"/>
        <v>0</v>
      </c>
      <c r="H1081" s="81"/>
      <c r="I1081" s="81"/>
      <c r="J1081" s="82"/>
    </row>
    <row r="1082" spans="1:10" hidden="1" outlineLevel="3" x14ac:dyDescent="0.35">
      <c r="A1082" s="78">
        <v>5</v>
      </c>
      <c r="B1082" s="78" t="s">
        <v>385</v>
      </c>
      <c r="C1082" s="78" t="s">
        <v>1311</v>
      </c>
      <c r="D1082" s="79"/>
      <c r="E1082" s="87"/>
      <c r="F1082" s="80">
        <f t="shared" si="32"/>
        <v>0</v>
      </c>
      <c r="G1082" s="80">
        <f t="shared" si="33"/>
        <v>0</v>
      </c>
      <c r="H1082" s="81"/>
      <c r="I1082" s="81"/>
      <c r="J1082" s="82"/>
    </row>
    <row r="1083" spans="1:10" hidden="1" outlineLevel="3" x14ac:dyDescent="0.35">
      <c r="A1083" s="78">
        <v>5</v>
      </c>
      <c r="B1083" s="78" t="s">
        <v>385</v>
      </c>
      <c r="C1083" s="78" t="s">
        <v>1312</v>
      </c>
      <c r="D1083" s="79"/>
      <c r="E1083" s="87"/>
      <c r="F1083" s="80">
        <f t="shared" si="32"/>
        <v>0</v>
      </c>
      <c r="G1083" s="80">
        <f t="shared" si="33"/>
        <v>0</v>
      </c>
      <c r="H1083" s="81"/>
      <c r="I1083" s="81"/>
      <c r="J1083" s="82"/>
    </row>
    <row r="1084" spans="1:10" hidden="1" outlineLevel="3" x14ac:dyDescent="0.35">
      <c r="A1084" s="78">
        <v>5</v>
      </c>
      <c r="B1084" s="78" t="s">
        <v>385</v>
      </c>
      <c r="C1084" s="78" t="s">
        <v>1313</v>
      </c>
      <c r="D1084" s="79"/>
      <c r="E1084" s="87"/>
      <c r="F1084" s="80">
        <f t="shared" si="32"/>
        <v>0</v>
      </c>
      <c r="G1084" s="80">
        <f t="shared" si="33"/>
        <v>0</v>
      </c>
      <c r="H1084" s="81"/>
      <c r="I1084" s="81"/>
      <c r="J1084" s="82"/>
    </row>
    <row r="1085" spans="1:10" hidden="1" outlineLevel="3" x14ac:dyDescent="0.35">
      <c r="A1085" s="78">
        <v>5</v>
      </c>
      <c r="B1085" s="78" t="s">
        <v>385</v>
      </c>
      <c r="C1085" s="78" t="s">
        <v>1314</v>
      </c>
      <c r="D1085" s="79"/>
      <c r="E1085" s="87"/>
      <c r="F1085" s="80">
        <f t="shared" si="32"/>
        <v>0</v>
      </c>
      <c r="G1085" s="80">
        <f t="shared" si="33"/>
        <v>0</v>
      </c>
      <c r="H1085" s="81"/>
      <c r="I1085" s="81"/>
      <c r="J1085" s="82"/>
    </row>
    <row r="1086" spans="1:10" hidden="1" outlineLevel="3" x14ac:dyDescent="0.35">
      <c r="A1086" s="78">
        <v>5</v>
      </c>
      <c r="B1086" s="78" t="s">
        <v>385</v>
      </c>
      <c r="C1086" s="78" t="s">
        <v>1315</v>
      </c>
      <c r="D1086" s="79"/>
      <c r="E1086" s="87"/>
      <c r="F1086" s="80">
        <f t="shared" si="32"/>
        <v>0</v>
      </c>
      <c r="G1086" s="80">
        <f t="shared" si="33"/>
        <v>0</v>
      </c>
      <c r="H1086" s="81"/>
      <c r="I1086" s="81"/>
      <c r="J1086" s="82"/>
    </row>
    <row r="1087" spans="1:10" hidden="1" outlineLevel="2" collapsed="1" x14ac:dyDescent="0.35">
      <c r="A1087" s="74">
        <v>4</v>
      </c>
      <c r="B1087" s="74" t="s">
        <v>392</v>
      </c>
      <c r="C1087" s="74" t="s">
        <v>1316</v>
      </c>
      <c r="D1087" s="75" t="s">
        <v>444</v>
      </c>
      <c r="E1087" s="86" t="str">
        <f>IFERROR(SUBTOTAL(1,E1088:E1095),"")</f>
        <v/>
      </c>
      <c r="F1087" s="74">
        <f t="shared" si="32"/>
        <v>0</v>
      </c>
      <c r="G1087" s="74">
        <f t="shared" si="33"/>
        <v>0</v>
      </c>
      <c r="H1087" s="76">
        <f>MIN(H1088:H1095)</f>
        <v>0</v>
      </c>
      <c r="I1087" s="76">
        <f>MAX(I1088:I1095)</f>
        <v>0</v>
      </c>
      <c r="J1087" s="77"/>
    </row>
    <row r="1088" spans="1:10" hidden="1" outlineLevel="3" x14ac:dyDescent="0.35">
      <c r="A1088" s="78">
        <v>5</v>
      </c>
      <c r="B1088" s="78" t="s">
        <v>385</v>
      </c>
      <c r="C1088" s="78" t="s">
        <v>1486</v>
      </c>
      <c r="D1088" s="79"/>
      <c r="E1088" s="87"/>
      <c r="F1088" s="80">
        <f t="shared" si="32"/>
        <v>0</v>
      </c>
      <c r="G1088" s="80">
        <f t="shared" si="33"/>
        <v>0</v>
      </c>
      <c r="H1088" s="81"/>
      <c r="I1088" s="81"/>
      <c r="J1088" s="82"/>
    </row>
    <row r="1089" spans="1:10" hidden="1" outlineLevel="3" x14ac:dyDescent="0.35">
      <c r="A1089" s="78">
        <v>5</v>
      </c>
      <c r="B1089" s="78" t="s">
        <v>385</v>
      </c>
      <c r="C1089" s="78" t="s">
        <v>1487</v>
      </c>
      <c r="D1089" s="79"/>
      <c r="E1089" s="87"/>
      <c r="F1089" s="80">
        <f t="shared" si="32"/>
        <v>0</v>
      </c>
      <c r="G1089" s="80">
        <f t="shared" si="33"/>
        <v>0</v>
      </c>
      <c r="H1089" s="81"/>
      <c r="I1089" s="81"/>
      <c r="J1089" s="82"/>
    </row>
    <row r="1090" spans="1:10" hidden="1" outlineLevel="3" x14ac:dyDescent="0.35">
      <c r="A1090" s="78">
        <v>5</v>
      </c>
      <c r="B1090" s="78" t="s">
        <v>385</v>
      </c>
      <c r="C1090" s="78" t="s">
        <v>1488</v>
      </c>
      <c r="D1090" s="79"/>
      <c r="E1090" s="87"/>
      <c r="F1090" s="80">
        <f t="shared" si="32"/>
        <v>0</v>
      </c>
      <c r="G1090" s="80">
        <f t="shared" si="33"/>
        <v>0</v>
      </c>
      <c r="H1090" s="81"/>
      <c r="I1090" s="81"/>
      <c r="J1090" s="82"/>
    </row>
    <row r="1091" spans="1:10" hidden="1" outlineLevel="3" x14ac:dyDescent="0.35">
      <c r="A1091" s="78">
        <v>5</v>
      </c>
      <c r="B1091" s="78" t="s">
        <v>385</v>
      </c>
      <c r="C1091" s="78" t="s">
        <v>1489</v>
      </c>
      <c r="D1091" s="79"/>
      <c r="E1091" s="87"/>
      <c r="F1091" s="80">
        <f t="shared" si="32"/>
        <v>0</v>
      </c>
      <c r="G1091" s="80">
        <f t="shared" si="33"/>
        <v>0</v>
      </c>
      <c r="H1091" s="81"/>
      <c r="I1091" s="81"/>
      <c r="J1091" s="82"/>
    </row>
    <row r="1092" spans="1:10" hidden="1" outlineLevel="3" x14ac:dyDescent="0.35">
      <c r="A1092" s="78">
        <v>5</v>
      </c>
      <c r="B1092" s="78" t="s">
        <v>385</v>
      </c>
      <c r="C1092" s="78" t="s">
        <v>1490</v>
      </c>
      <c r="D1092" s="79"/>
      <c r="E1092" s="87"/>
      <c r="F1092" s="80">
        <f t="shared" si="32"/>
        <v>0</v>
      </c>
      <c r="G1092" s="80">
        <f t="shared" si="33"/>
        <v>0</v>
      </c>
      <c r="H1092" s="81"/>
      <c r="I1092" s="81"/>
      <c r="J1092" s="82"/>
    </row>
    <row r="1093" spans="1:10" hidden="1" outlineLevel="3" x14ac:dyDescent="0.35">
      <c r="A1093" s="78">
        <v>5</v>
      </c>
      <c r="B1093" s="78" t="s">
        <v>385</v>
      </c>
      <c r="C1093" s="78" t="s">
        <v>1491</v>
      </c>
      <c r="D1093" s="79"/>
      <c r="E1093" s="87"/>
      <c r="F1093" s="80">
        <f t="shared" si="32"/>
        <v>0</v>
      </c>
      <c r="G1093" s="80">
        <f t="shared" si="33"/>
        <v>0</v>
      </c>
      <c r="H1093" s="81"/>
      <c r="I1093" s="81"/>
      <c r="J1093" s="82"/>
    </row>
    <row r="1094" spans="1:10" hidden="1" outlineLevel="3" x14ac:dyDescent="0.35">
      <c r="A1094" s="78">
        <v>5</v>
      </c>
      <c r="B1094" s="78" t="s">
        <v>385</v>
      </c>
      <c r="C1094" s="78" t="s">
        <v>1492</v>
      </c>
      <c r="D1094" s="79"/>
      <c r="E1094" s="87"/>
      <c r="F1094" s="80">
        <f t="shared" ref="F1094:F1157" si="34">IFERROR(DATEDIF(H1094,I1094,"D"),0)</f>
        <v>0</v>
      </c>
      <c r="G1094" s="80">
        <f t="shared" ref="G1094:G1157" si="35">IFERROR(NETWORKDAYS.INTL(H1094,I1094),0)</f>
        <v>0</v>
      </c>
      <c r="H1094" s="81"/>
      <c r="I1094" s="81"/>
      <c r="J1094" s="82"/>
    </row>
    <row r="1095" spans="1:10" hidden="1" outlineLevel="3" x14ac:dyDescent="0.35">
      <c r="A1095" s="78">
        <v>5</v>
      </c>
      <c r="B1095" s="78" t="s">
        <v>385</v>
      </c>
      <c r="C1095" s="78" t="s">
        <v>1493</v>
      </c>
      <c r="D1095" s="79"/>
      <c r="E1095" s="87"/>
      <c r="F1095" s="80">
        <f t="shared" si="34"/>
        <v>0</v>
      </c>
      <c r="G1095" s="80">
        <f t="shared" si="35"/>
        <v>0</v>
      </c>
      <c r="H1095" s="81"/>
      <c r="I1095" s="81"/>
      <c r="J1095" s="82"/>
    </row>
    <row r="1096" spans="1:10" outlineLevel="1" collapsed="1" x14ac:dyDescent="0.35">
      <c r="A1096" s="67">
        <v>3</v>
      </c>
      <c r="B1096" s="67" t="s">
        <v>298</v>
      </c>
      <c r="C1096" s="67" t="s">
        <v>1317</v>
      </c>
      <c r="D1096" s="73" t="s">
        <v>1270</v>
      </c>
      <c r="E1096" s="85" t="str">
        <f>IFERROR(AVERAGE(E1097,E1111,E1120,E1129,E1138,E1147),"")</f>
        <v/>
      </c>
      <c r="F1096" s="67">
        <f t="shared" si="34"/>
        <v>0</v>
      </c>
      <c r="G1096" s="67">
        <f t="shared" si="35"/>
        <v>0</v>
      </c>
      <c r="H1096" s="72">
        <f>MIN(H1097,H1111,H1120,H1129,H1138,H1147)</f>
        <v>0</v>
      </c>
      <c r="I1096" s="72">
        <f>MAX(I1097,I1111,I1120,I1129,I1138,I1147)</f>
        <v>0</v>
      </c>
      <c r="J1096" s="71"/>
    </row>
    <row r="1097" spans="1:10" hidden="1" outlineLevel="2" collapsed="1" x14ac:dyDescent="0.35">
      <c r="A1097" s="74">
        <v>4</v>
      </c>
      <c r="B1097" s="74" t="s">
        <v>392</v>
      </c>
      <c r="C1097" s="74" t="s">
        <v>1319</v>
      </c>
      <c r="D1097" s="75" t="s">
        <v>394</v>
      </c>
      <c r="E1097" s="86" t="str">
        <f>IFERROR(SUBTOTAL(1,E1098:E1110),"")</f>
        <v/>
      </c>
      <c r="F1097" s="74">
        <f t="shared" si="34"/>
        <v>0</v>
      </c>
      <c r="G1097" s="74">
        <f t="shared" si="35"/>
        <v>0</v>
      </c>
      <c r="H1097" s="76">
        <f>MIN(H1098:H1110)</f>
        <v>0</v>
      </c>
      <c r="I1097" s="76">
        <f>MAX(I1098:I1110)</f>
        <v>0</v>
      </c>
      <c r="J1097" s="77"/>
    </row>
    <row r="1098" spans="1:10" hidden="1" outlineLevel="3" x14ac:dyDescent="0.35">
      <c r="A1098" s="78">
        <v>5</v>
      </c>
      <c r="B1098" s="78" t="s">
        <v>385</v>
      </c>
      <c r="C1098" s="78" t="s">
        <v>1320</v>
      </c>
      <c r="D1098" s="79" t="s">
        <v>322</v>
      </c>
      <c r="E1098" s="87"/>
      <c r="F1098" s="80">
        <f t="shared" si="34"/>
        <v>0</v>
      </c>
      <c r="G1098" s="80">
        <f t="shared" si="35"/>
        <v>0</v>
      </c>
      <c r="H1098" s="81"/>
      <c r="I1098" s="81"/>
      <c r="J1098" s="82"/>
    </row>
    <row r="1099" spans="1:10" hidden="1" outlineLevel="3" x14ac:dyDescent="0.35">
      <c r="A1099" s="78">
        <v>5</v>
      </c>
      <c r="B1099" s="78" t="s">
        <v>385</v>
      </c>
      <c r="C1099" s="78" t="s">
        <v>1321</v>
      </c>
      <c r="D1099" s="79" t="s">
        <v>320</v>
      </c>
      <c r="E1099" s="87"/>
      <c r="F1099" s="80">
        <f t="shared" si="34"/>
        <v>0</v>
      </c>
      <c r="G1099" s="80">
        <f t="shared" si="35"/>
        <v>0</v>
      </c>
      <c r="H1099" s="81"/>
      <c r="I1099" s="81"/>
      <c r="J1099" s="82"/>
    </row>
    <row r="1100" spans="1:10" hidden="1" outlineLevel="3" x14ac:dyDescent="0.35">
      <c r="A1100" s="78">
        <v>5</v>
      </c>
      <c r="B1100" s="78" t="s">
        <v>385</v>
      </c>
      <c r="C1100" s="78" t="s">
        <v>1322</v>
      </c>
      <c r="D1100" s="79" t="s">
        <v>341</v>
      </c>
      <c r="E1100" s="87"/>
      <c r="F1100" s="80">
        <f t="shared" si="34"/>
        <v>0</v>
      </c>
      <c r="G1100" s="80">
        <f t="shared" si="35"/>
        <v>0</v>
      </c>
      <c r="H1100" s="81"/>
      <c r="I1100" s="81"/>
      <c r="J1100" s="82"/>
    </row>
    <row r="1101" spans="1:10" hidden="1" outlineLevel="3" x14ac:dyDescent="0.35">
      <c r="A1101" s="78">
        <v>5</v>
      </c>
      <c r="B1101" s="78" t="s">
        <v>385</v>
      </c>
      <c r="C1101" s="78" t="s">
        <v>1323</v>
      </c>
      <c r="D1101" s="79" t="s">
        <v>350</v>
      </c>
      <c r="E1101" s="87"/>
      <c r="F1101" s="80">
        <f t="shared" si="34"/>
        <v>0</v>
      </c>
      <c r="G1101" s="80">
        <f t="shared" si="35"/>
        <v>0</v>
      </c>
      <c r="H1101" s="81"/>
      <c r="I1101" s="81"/>
      <c r="J1101" s="82"/>
    </row>
    <row r="1102" spans="1:10" hidden="1" outlineLevel="3" x14ac:dyDescent="0.35">
      <c r="A1102" s="78">
        <v>5</v>
      </c>
      <c r="B1102" s="78" t="s">
        <v>385</v>
      </c>
      <c r="C1102" s="78" t="s">
        <v>1324</v>
      </c>
      <c r="D1102" s="79" t="s">
        <v>355</v>
      </c>
      <c r="E1102" s="87"/>
      <c r="F1102" s="80">
        <f t="shared" si="34"/>
        <v>0</v>
      </c>
      <c r="G1102" s="80">
        <f t="shared" si="35"/>
        <v>0</v>
      </c>
      <c r="H1102" s="81"/>
      <c r="I1102" s="81"/>
      <c r="J1102" s="82"/>
    </row>
    <row r="1103" spans="1:10" hidden="1" outlineLevel="3" x14ac:dyDescent="0.35">
      <c r="A1103" s="78">
        <v>5</v>
      </c>
      <c r="B1103" s="78" t="s">
        <v>385</v>
      </c>
      <c r="C1103" s="78" t="s">
        <v>1325</v>
      </c>
      <c r="D1103" s="79" t="s">
        <v>356</v>
      </c>
      <c r="E1103" s="87"/>
      <c r="F1103" s="80">
        <f t="shared" si="34"/>
        <v>0</v>
      </c>
      <c r="G1103" s="80">
        <f t="shared" si="35"/>
        <v>0</v>
      </c>
      <c r="H1103" s="81"/>
      <c r="I1103" s="81"/>
      <c r="J1103" s="82"/>
    </row>
    <row r="1104" spans="1:10" hidden="1" outlineLevel="3" x14ac:dyDescent="0.35">
      <c r="A1104" s="78">
        <v>5</v>
      </c>
      <c r="B1104" s="78" t="s">
        <v>385</v>
      </c>
      <c r="C1104" s="78" t="s">
        <v>1326</v>
      </c>
      <c r="D1104" s="79" t="s">
        <v>357</v>
      </c>
      <c r="E1104" s="87"/>
      <c r="F1104" s="80">
        <f t="shared" si="34"/>
        <v>0</v>
      </c>
      <c r="G1104" s="80">
        <f t="shared" si="35"/>
        <v>0</v>
      </c>
      <c r="H1104" s="81"/>
      <c r="I1104" s="81"/>
      <c r="J1104" s="82"/>
    </row>
    <row r="1105" spans="1:10" hidden="1" outlineLevel="3" x14ac:dyDescent="0.35">
      <c r="A1105" s="78">
        <v>5</v>
      </c>
      <c r="B1105" s="78" t="s">
        <v>385</v>
      </c>
      <c r="C1105" s="78" t="s">
        <v>1327</v>
      </c>
      <c r="D1105" s="79" t="s">
        <v>334</v>
      </c>
      <c r="E1105" s="87"/>
      <c r="F1105" s="80">
        <f t="shared" si="34"/>
        <v>0</v>
      </c>
      <c r="G1105" s="80">
        <f t="shared" si="35"/>
        <v>0</v>
      </c>
      <c r="H1105" s="81"/>
      <c r="I1105" s="81"/>
      <c r="J1105" s="82"/>
    </row>
    <row r="1106" spans="1:10" hidden="1" outlineLevel="3" x14ac:dyDescent="0.35">
      <c r="A1106" s="78">
        <v>5</v>
      </c>
      <c r="B1106" s="78" t="s">
        <v>385</v>
      </c>
      <c r="C1106" s="78" t="s">
        <v>1673</v>
      </c>
      <c r="D1106" s="79" t="s">
        <v>350</v>
      </c>
      <c r="E1106" s="87"/>
      <c r="F1106" s="80">
        <f t="shared" si="34"/>
        <v>0</v>
      </c>
      <c r="G1106" s="80">
        <f t="shared" si="35"/>
        <v>0</v>
      </c>
      <c r="H1106" s="81"/>
      <c r="I1106" s="81"/>
      <c r="J1106" s="82"/>
    </row>
    <row r="1107" spans="1:10" hidden="1" outlineLevel="3" x14ac:dyDescent="0.35">
      <c r="A1107" s="78">
        <v>5</v>
      </c>
      <c r="B1107" s="78" t="s">
        <v>385</v>
      </c>
      <c r="C1107" s="78" t="s">
        <v>1674</v>
      </c>
      <c r="D1107" s="79" t="s">
        <v>21</v>
      </c>
      <c r="E1107" s="87"/>
      <c r="F1107" s="80">
        <f t="shared" si="34"/>
        <v>0</v>
      </c>
      <c r="G1107" s="80">
        <f t="shared" si="35"/>
        <v>0</v>
      </c>
      <c r="H1107" s="81"/>
      <c r="I1107" s="81"/>
      <c r="J1107" s="82"/>
    </row>
    <row r="1108" spans="1:10" hidden="1" outlineLevel="3" x14ac:dyDescent="0.35">
      <c r="A1108" s="78">
        <v>5</v>
      </c>
      <c r="B1108" s="78" t="s">
        <v>385</v>
      </c>
      <c r="C1108" s="78" t="s">
        <v>1675</v>
      </c>
      <c r="D1108" s="79" t="s">
        <v>338</v>
      </c>
      <c r="E1108" s="87"/>
      <c r="F1108" s="80">
        <f t="shared" si="34"/>
        <v>0</v>
      </c>
      <c r="G1108" s="80">
        <f t="shared" si="35"/>
        <v>0</v>
      </c>
      <c r="H1108" s="81"/>
      <c r="I1108" s="81"/>
      <c r="J1108" s="82"/>
    </row>
    <row r="1109" spans="1:10" hidden="1" outlineLevel="3" x14ac:dyDescent="0.35">
      <c r="A1109" s="78">
        <v>5</v>
      </c>
      <c r="B1109" s="78" t="s">
        <v>385</v>
      </c>
      <c r="C1109" s="78" t="s">
        <v>1676</v>
      </c>
      <c r="D1109" s="79" t="s">
        <v>339</v>
      </c>
      <c r="E1109" s="87"/>
      <c r="F1109" s="80">
        <f t="shared" si="34"/>
        <v>0</v>
      </c>
      <c r="G1109" s="80">
        <f t="shared" si="35"/>
        <v>0</v>
      </c>
      <c r="H1109" s="81"/>
      <c r="I1109" s="81"/>
      <c r="J1109" s="82"/>
    </row>
    <row r="1110" spans="1:10" hidden="1" outlineLevel="3" x14ac:dyDescent="0.35">
      <c r="A1110" s="78">
        <v>5</v>
      </c>
      <c r="B1110" s="78" t="s">
        <v>385</v>
      </c>
      <c r="C1110" s="78" t="s">
        <v>1677</v>
      </c>
      <c r="D1110" s="79" t="s">
        <v>334</v>
      </c>
      <c r="E1110" s="87"/>
      <c r="F1110" s="80">
        <f t="shared" si="34"/>
        <v>0</v>
      </c>
      <c r="G1110" s="80">
        <f t="shared" si="35"/>
        <v>0</v>
      </c>
      <c r="H1110" s="81"/>
      <c r="I1110" s="81"/>
      <c r="J1110" s="82"/>
    </row>
    <row r="1111" spans="1:10" hidden="1" outlineLevel="2" collapsed="1" x14ac:dyDescent="0.35">
      <c r="A1111" s="74">
        <v>4</v>
      </c>
      <c r="B1111" s="74" t="s">
        <v>392</v>
      </c>
      <c r="C1111" s="74" t="s">
        <v>1328</v>
      </c>
      <c r="D1111" s="75" t="s">
        <v>404</v>
      </c>
      <c r="E1111" s="86" t="str">
        <f>IFERROR(SUBTOTAL(1,E1112:E1119),"")</f>
        <v/>
      </c>
      <c r="F1111" s="74">
        <f t="shared" si="34"/>
        <v>0</v>
      </c>
      <c r="G1111" s="74">
        <f t="shared" si="35"/>
        <v>0</v>
      </c>
      <c r="H1111" s="76">
        <f>MIN(H1112:H1119)</f>
        <v>0</v>
      </c>
      <c r="I1111" s="76">
        <f>MAX(I1112:I1119)</f>
        <v>0</v>
      </c>
      <c r="J1111" s="77"/>
    </row>
    <row r="1112" spans="1:10" hidden="1" outlineLevel="3" x14ac:dyDescent="0.35">
      <c r="A1112" s="78">
        <v>5</v>
      </c>
      <c r="B1112" s="78" t="s">
        <v>385</v>
      </c>
      <c r="C1112" s="78" t="s">
        <v>1329</v>
      </c>
      <c r="D1112" s="79" t="s">
        <v>321</v>
      </c>
      <c r="E1112" s="87"/>
      <c r="F1112" s="80">
        <f t="shared" si="34"/>
        <v>0</v>
      </c>
      <c r="G1112" s="80">
        <f t="shared" si="35"/>
        <v>0</v>
      </c>
      <c r="H1112" s="81"/>
      <c r="I1112" s="81"/>
      <c r="J1112" s="82"/>
    </row>
    <row r="1113" spans="1:10" hidden="1" outlineLevel="3" x14ac:dyDescent="0.35">
      <c r="A1113" s="78">
        <v>5</v>
      </c>
      <c r="B1113" s="78" t="s">
        <v>385</v>
      </c>
      <c r="C1113" s="78" t="s">
        <v>1330</v>
      </c>
      <c r="D1113" s="79" t="s">
        <v>351</v>
      </c>
      <c r="E1113" s="87"/>
      <c r="F1113" s="80">
        <f t="shared" si="34"/>
        <v>0</v>
      </c>
      <c r="G1113" s="80">
        <f t="shared" si="35"/>
        <v>0</v>
      </c>
      <c r="H1113" s="81"/>
      <c r="I1113" s="81"/>
      <c r="J1113" s="82"/>
    </row>
    <row r="1114" spans="1:10" hidden="1" outlineLevel="3" x14ac:dyDescent="0.35">
      <c r="A1114" s="78">
        <v>5</v>
      </c>
      <c r="B1114" s="78" t="s">
        <v>385</v>
      </c>
      <c r="C1114" s="78" t="s">
        <v>1331</v>
      </c>
      <c r="D1114" s="79" t="s">
        <v>336</v>
      </c>
      <c r="E1114" s="87"/>
      <c r="F1114" s="80">
        <f t="shared" si="34"/>
        <v>0</v>
      </c>
      <c r="G1114" s="80">
        <f t="shared" si="35"/>
        <v>0</v>
      </c>
      <c r="H1114" s="81"/>
      <c r="I1114" s="81"/>
      <c r="J1114" s="82"/>
    </row>
    <row r="1115" spans="1:10" hidden="1" outlineLevel="3" x14ac:dyDescent="0.35">
      <c r="A1115" s="78">
        <v>5</v>
      </c>
      <c r="B1115" s="78" t="s">
        <v>385</v>
      </c>
      <c r="C1115" s="78" t="s">
        <v>1332</v>
      </c>
      <c r="D1115" s="79" t="s">
        <v>351</v>
      </c>
      <c r="E1115" s="87"/>
      <c r="F1115" s="80">
        <f t="shared" si="34"/>
        <v>0</v>
      </c>
      <c r="G1115" s="80">
        <f t="shared" si="35"/>
        <v>0</v>
      </c>
      <c r="H1115" s="81"/>
      <c r="I1115" s="81"/>
      <c r="J1115" s="82"/>
    </row>
    <row r="1116" spans="1:10" hidden="1" outlineLevel="3" x14ac:dyDescent="0.35">
      <c r="A1116" s="78">
        <v>5</v>
      </c>
      <c r="B1116" s="78" t="s">
        <v>385</v>
      </c>
      <c r="C1116" s="78" t="s">
        <v>1333</v>
      </c>
      <c r="D1116" s="79" t="s">
        <v>336</v>
      </c>
      <c r="E1116" s="87"/>
      <c r="F1116" s="80">
        <f t="shared" si="34"/>
        <v>0</v>
      </c>
      <c r="G1116" s="80">
        <f t="shared" si="35"/>
        <v>0</v>
      </c>
      <c r="H1116" s="81"/>
      <c r="I1116" s="81"/>
      <c r="J1116" s="82"/>
    </row>
    <row r="1117" spans="1:10" hidden="1" outlineLevel="3" x14ac:dyDescent="0.35">
      <c r="A1117" s="78">
        <v>5</v>
      </c>
      <c r="B1117" s="78" t="s">
        <v>385</v>
      </c>
      <c r="C1117" s="78" t="s">
        <v>1334</v>
      </c>
      <c r="D1117" s="79"/>
      <c r="E1117" s="87"/>
      <c r="F1117" s="80">
        <f t="shared" si="34"/>
        <v>0</v>
      </c>
      <c r="G1117" s="80">
        <f t="shared" si="35"/>
        <v>0</v>
      </c>
      <c r="H1117" s="81"/>
      <c r="I1117" s="81"/>
      <c r="J1117" s="82"/>
    </row>
    <row r="1118" spans="1:10" hidden="1" outlineLevel="3" x14ac:dyDescent="0.35">
      <c r="A1118" s="78">
        <v>5</v>
      </c>
      <c r="B1118" s="78" t="s">
        <v>385</v>
      </c>
      <c r="C1118" s="78" t="s">
        <v>1335</v>
      </c>
      <c r="D1118" s="79"/>
      <c r="E1118" s="87"/>
      <c r="F1118" s="80">
        <f t="shared" si="34"/>
        <v>0</v>
      </c>
      <c r="G1118" s="80">
        <f t="shared" si="35"/>
        <v>0</v>
      </c>
      <c r="H1118" s="81"/>
      <c r="I1118" s="81"/>
      <c r="J1118" s="82"/>
    </row>
    <row r="1119" spans="1:10" hidden="1" outlineLevel="3" x14ac:dyDescent="0.35">
      <c r="A1119" s="78">
        <v>5</v>
      </c>
      <c r="B1119" s="78" t="s">
        <v>385</v>
      </c>
      <c r="C1119" s="78" t="s">
        <v>1336</v>
      </c>
      <c r="D1119" s="79"/>
      <c r="E1119" s="87"/>
      <c r="F1119" s="80">
        <f t="shared" si="34"/>
        <v>0</v>
      </c>
      <c r="G1119" s="80">
        <f t="shared" si="35"/>
        <v>0</v>
      </c>
      <c r="H1119" s="81"/>
      <c r="I1119" s="81"/>
      <c r="J1119" s="82"/>
    </row>
    <row r="1120" spans="1:10" hidden="1" outlineLevel="2" collapsed="1" x14ac:dyDescent="0.35">
      <c r="A1120" s="74">
        <v>4</v>
      </c>
      <c r="B1120" s="74" t="s">
        <v>392</v>
      </c>
      <c r="C1120" s="74" t="s">
        <v>1337</v>
      </c>
      <c r="D1120" s="75" t="s">
        <v>414</v>
      </c>
      <c r="E1120" s="86" t="str">
        <f>IFERROR(SUBTOTAL(1,E1121:E1128),"")</f>
        <v/>
      </c>
      <c r="F1120" s="74">
        <f t="shared" si="34"/>
        <v>0</v>
      </c>
      <c r="G1120" s="74">
        <f t="shared" si="35"/>
        <v>0</v>
      </c>
      <c r="H1120" s="76">
        <f>MIN(H1121:H1128)</f>
        <v>0</v>
      </c>
      <c r="I1120" s="76">
        <f>MAX(I1121:I1128)</f>
        <v>0</v>
      </c>
      <c r="J1120" s="77"/>
    </row>
    <row r="1121" spans="1:10" hidden="1" outlineLevel="3" x14ac:dyDescent="0.35">
      <c r="A1121" s="78">
        <v>5</v>
      </c>
      <c r="B1121" s="78" t="s">
        <v>385</v>
      </c>
      <c r="C1121" s="78" t="s">
        <v>1338</v>
      </c>
      <c r="D1121" s="79" t="s">
        <v>358</v>
      </c>
      <c r="E1121" s="87"/>
      <c r="F1121" s="80">
        <f t="shared" si="34"/>
        <v>0</v>
      </c>
      <c r="G1121" s="80">
        <f t="shared" si="35"/>
        <v>0</v>
      </c>
      <c r="H1121" s="81"/>
      <c r="I1121" s="81"/>
      <c r="J1121" s="82"/>
    </row>
    <row r="1122" spans="1:10" hidden="1" outlineLevel="3" x14ac:dyDescent="0.35">
      <c r="A1122" s="78">
        <v>5</v>
      </c>
      <c r="B1122" s="78" t="s">
        <v>385</v>
      </c>
      <c r="C1122" s="78" t="s">
        <v>1339</v>
      </c>
      <c r="D1122" s="79" t="s">
        <v>335</v>
      </c>
      <c r="E1122" s="87"/>
      <c r="F1122" s="80">
        <f t="shared" si="34"/>
        <v>0</v>
      </c>
      <c r="G1122" s="80">
        <f t="shared" si="35"/>
        <v>0</v>
      </c>
      <c r="H1122" s="81"/>
      <c r="I1122" s="81"/>
      <c r="J1122" s="82"/>
    </row>
    <row r="1123" spans="1:10" hidden="1" outlineLevel="3" x14ac:dyDescent="0.35">
      <c r="A1123" s="78">
        <v>5</v>
      </c>
      <c r="B1123" s="78" t="s">
        <v>385</v>
      </c>
      <c r="C1123" s="78" t="s">
        <v>1340</v>
      </c>
      <c r="D1123" s="79" t="s">
        <v>335</v>
      </c>
      <c r="E1123" s="87"/>
      <c r="F1123" s="80">
        <f t="shared" si="34"/>
        <v>0</v>
      </c>
      <c r="G1123" s="80">
        <f t="shared" si="35"/>
        <v>0</v>
      </c>
      <c r="H1123" s="81"/>
      <c r="I1123" s="81"/>
      <c r="J1123" s="82"/>
    </row>
    <row r="1124" spans="1:10" hidden="1" outlineLevel="3" x14ac:dyDescent="0.35">
      <c r="A1124" s="78">
        <v>5</v>
      </c>
      <c r="B1124" s="78" t="s">
        <v>385</v>
      </c>
      <c r="C1124" s="78" t="s">
        <v>1341</v>
      </c>
      <c r="D1124" s="79"/>
      <c r="E1124" s="87"/>
      <c r="F1124" s="80">
        <f t="shared" si="34"/>
        <v>0</v>
      </c>
      <c r="G1124" s="80">
        <f t="shared" si="35"/>
        <v>0</v>
      </c>
      <c r="H1124" s="81"/>
      <c r="I1124" s="81"/>
      <c r="J1124" s="82"/>
    </row>
    <row r="1125" spans="1:10" hidden="1" outlineLevel="3" x14ac:dyDescent="0.35">
      <c r="A1125" s="78">
        <v>5</v>
      </c>
      <c r="B1125" s="78" t="s">
        <v>385</v>
      </c>
      <c r="C1125" s="78" t="s">
        <v>1342</v>
      </c>
      <c r="D1125" s="79"/>
      <c r="E1125" s="87"/>
      <c r="F1125" s="80">
        <f t="shared" si="34"/>
        <v>0</v>
      </c>
      <c r="G1125" s="80">
        <f t="shared" si="35"/>
        <v>0</v>
      </c>
      <c r="H1125" s="81"/>
      <c r="I1125" s="81"/>
      <c r="J1125" s="82"/>
    </row>
    <row r="1126" spans="1:10" hidden="1" outlineLevel="3" x14ac:dyDescent="0.35">
      <c r="A1126" s="78">
        <v>5</v>
      </c>
      <c r="B1126" s="78" t="s">
        <v>385</v>
      </c>
      <c r="C1126" s="78" t="s">
        <v>1343</v>
      </c>
      <c r="D1126" s="79"/>
      <c r="E1126" s="87"/>
      <c r="F1126" s="80">
        <f t="shared" si="34"/>
        <v>0</v>
      </c>
      <c r="G1126" s="80">
        <f t="shared" si="35"/>
        <v>0</v>
      </c>
      <c r="H1126" s="81"/>
      <c r="I1126" s="81"/>
      <c r="J1126" s="82"/>
    </row>
    <row r="1127" spans="1:10" hidden="1" outlineLevel="3" x14ac:dyDescent="0.35">
      <c r="A1127" s="78">
        <v>5</v>
      </c>
      <c r="B1127" s="78" t="s">
        <v>385</v>
      </c>
      <c r="C1127" s="78" t="s">
        <v>1344</v>
      </c>
      <c r="D1127" s="79"/>
      <c r="E1127" s="87"/>
      <c r="F1127" s="80">
        <f t="shared" si="34"/>
        <v>0</v>
      </c>
      <c r="G1127" s="80">
        <f t="shared" si="35"/>
        <v>0</v>
      </c>
      <c r="H1127" s="81"/>
      <c r="I1127" s="81"/>
      <c r="J1127" s="82"/>
    </row>
    <row r="1128" spans="1:10" hidden="1" outlineLevel="3" x14ac:dyDescent="0.35">
      <c r="A1128" s="78">
        <v>5</v>
      </c>
      <c r="B1128" s="78" t="s">
        <v>385</v>
      </c>
      <c r="C1128" s="78" t="s">
        <v>1345</v>
      </c>
      <c r="D1128" s="79"/>
      <c r="E1128" s="87"/>
      <c r="F1128" s="80">
        <f t="shared" si="34"/>
        <v>0</v>
      </c>
      <c r="G1128" s="80">
        <f t="shared" si="35"/>
        <v>0</v>
      </c>
      <c r="H1128" s="81"/>
      <c r="I1128" s="81"/>
      <c r="J1128" s="82"/>
    </row>
    <row r="1129" spans="1:10" hidden="1" outlineLevel="2" collapsed="1" x14ac:dyDescent="0.35">
      <c r="A1129" s="74">
        <v>4</v>
      </c>
      <c r="B1129" s="74" t="s">
        <v>392</v>
      </c>
      <c r="C1129" s="74" t="s">
        <v>1346</v>
      </c>
      <c r="D1129" s="75" t="s">
        <v>424</v>
      </c>
      <c r="E1129" s="86" t="str">
        <f>IFERROR(SUBTOTAL(1,E1130:E1137),"")</f>
        <v/>
      </c>
      <c r="F1129" s="74">
        <f t="shared" si="34"/>
        <v>0</v>
      </c>
      <c r="G1129" s="74">
        <f t="shared" si="35"/>
        <v>0</v>
      </c>
      <c r="H1129" s="76">
        <f>MIN(H1130:H1137)</f>
        <v>0</v>
      </c>
      <c r="I1129" s="76">
        <f>MAX(I1130:I1137)</f>
        <v>0</v>
      </c>
      <c r="J1129" s="77"/>
    </row>
    <row r="1130" spans="1:10" hidden="1" outlineLevel="3" x14ac:dyDescent="0.35">
      <c r="A1130" s="78">
        <v>5</v>
      </c>
      <c r="B1130" s="78" t="s">
        <v>385</v>
      </c>
      <c r="C1130" s="78" t="s">
        <v>1347</v>
      </c>
      <c r="D1130" s="79"/>
      <c r="E1130" s="87"/>
      <c r="F1130" s="80">
        <f t="shared" si="34"/>
        <v>0</v>
      </c>
      <c r="G1130" s="80">
        <f t="shared" si="35"/>
        <v>0</v>
      </c>
      <c r="H1130" s="81"/>
      <c r="I1130" s="81"/>
      <c r="J1130" s="82"/>
    </row>
    <row r="1131" spans="1:10" hidden="1" outlineLevel="3" x14ac:dyDescent="0.35">
      <c r="A1131" s="78">
        <v>5</v>
      </c>
      <c r="B1131" s="78" t="s">
        <v>385</v>
      </c>
      <c r="C1131" s="78" t="s">
        <v>1348</v>
      </c>
      <c r="D1131" s="79"/>
      <c r="E1131" s="87"/>
      <c r="F1131" s="80">
        <f t="shared" si="34"/>
        <v>0</v>
      </c>
      <c r="G1131" s="80">
        <f t="shared" si="35"/>
        <v>0</v>
      </c>
      <c r="H1131" s="81"/>
      <c r="I1131" s="81"/>
      <c r="J1131" s="82"/>
    </row>
    <row r="1132" spans="1:10" hidden="1" outlineLevel="3" x14ac:dyDescent="0.35">
      <c r="A1132" s="78">
        <v>5</v>
      </c>
      <c r="B1132" s="78" t="s">
        <v>385</v>
      </c>
      <c r="C1132" s="78" t="s">
        <v>1349</v>
      </c>
      <c r="D1132" s="79"/>
      <c r="E1132" s="87"/>
      <c r="F1132" s="80">
        <f t="shared" si="34"/>
        <v>0</v>
      </c>
      <c r="G1132" s="80">
        <f t="shared" si="35"/>
        <v>0</v>
      </c>
      <c r="H1132" s="81"/>
      <c r="I1132" s="81"/>
      <c r="J1132" s="82"/>
    </row>
    <row r="1133" spans="1:10" hidden="1" outlineLevel="3" x14ac:dyDescent="0.35">
      <c r="A1133" s="78">
        <v>5</v>
      </c>
      <c r="B1133" s="78" t="s">
        <v>385</v>
      </c>
      <c r="C1133" s="78" t="s">
        <v>1350</v>
      </c>
      <c r="D1133" s="79"/>
      <c r="E1133" s="87"/>
      <c r="F1133" s="80">
        <f t="shared" si="34"/>
        <v>0</v>
      </c>
      <c r="G1133" s="80">
        <f t="shared" si="35"/>
        <v>0</v>
      </c>
      <c r="H1133" s="81"/>
      <c r="I1133" s="81"/>
      <c r="J1133" s="82"/>
    </row>
    <row r="1134" spans="1:10" hidden="1" outlineLevel="3" x14ac:dyDescent="0.35">
      <c r="A1134" s="78">
        <v>5</v>
      </c>
      <c r="B1134" s="78" t="s">
        <v>385</v>
      </c>
      <c r="C1134" s="78" t="s">
        <v>1351</v>
      </c>
      <c r="D1134" s="79"/>
      <c r="E1134" s="87"/>
      <c r="F1134" s="80">
        <f t="shared" si="34"/>
        <v>0</v>
      </c>
      <c r="G1134" s="80">
        <f t="shared" si="35"/>
        <v>0</v>
      </c>
      <c r="H1134" s="81"/>
      <c r="I1134" s="81"/>
      <c r="J1134" s="82"/>
    </row>
    <row r="1135" spans="1:10" hidden="1" outlineLevel="3" x14ac:dyDescent="0.35">
      <c r="A1135" s="78">
        <v>5</v>
      </c>
      <c r="B1135" s="78" t="s">
        <v>385</v>
      </c>
      <c r="C1135" s="78" t="s">
        <v>1352</v>
      </c>
      <c r="D1135" s="79"/>
      <c r="E1135" s="87"/>
      <c r="F1135" s="80">
        <f t="shared" si="34"/>
        <v>0</v>
      </c>
      <c r="G1135" s="80">
        <f t="shared" si="35"/>
        <v>0</v>
      </c>
      <c r="H1135" s="81"/>
      <c r="I1135" s="81"/>
      <c r="J1135" s="82"/>
    </row>
    <row r="1136" spans="1:10" hidden="1" outlineLevel="3" x14ac:dyDescent="0.35">
      <c r="A1136" s="78">
        <v>5</v>
      </c>
      <c r="B1136" s="78" t="s">
        <v>385</v>
      </c>
      <c r="C1136" s="78" t="s">
        <v>1353</v>
      </c>
      <c r="D1136" s="79"/>
      <c r="E1136" s="87"/>
      <c r="F1136" s="80">
        <f t="shared" si="34"/>
        <v>0</v>
      </c>
      <c r="G1136" s="80">
        <f t="shared" si="35"/>
        <v>0</v>
      </c>
      <c r="H1136" s="81"/>
      <c r="I1136" s="81"/>
      <c r="J1136" s="82"/>
    </row>
    <row r="1137" spans="1:10" hidden="1" outlineLevel="3" x14ac:dyDescent="0.35">
      <c r="A1137" s="78">
        <v>5</v>
      </c>
      <c r="B1137" s="78" t="s">
        <v>385</v>
      </c>
      <c r="C1137" s="78" t="s">
        <v>1354</v>
      </c>
      <c r="D1137" s="79"/>
      <c r="E1137" s="87"/>
      <c r="F1137" s="80">
        <f t="shared" si="34"/>
        <v>0</v>
      </c>
      <c r="G1137" s="80">
        <f t="shared" si="35"/>
        <v>0</v>
      </c>
      <c r="H1137" s="81"/>
      <c r="I1137" s="81"/>
      <c r="J1137" s="82"/>
    </row>
    <row r="1138" spans="1:10" hidden="1" outlineLevel="2" collapsed="1" x14ac:dyDescent="0.35">
      <c r="A1138" s="74">
        <v>4</v>
      </c>
      <c r="B1138" s="74" t="s">
        <v>392</v>
      </c>
      <c r="C1138" s="74" t="s">
        <v>1355</v>
      </c>
      <c r="D1138" s="75" t="s">
        <v>434</v>
      </c>
      <c r="E1138" s="86" t="str">
        <f>IFERROR(SUBTOTAL(1,E1139:E1146),"")</f>
        <v/>
      </c>
      <c r="F1138" s="74">
        <f t="shared" si="34"/>
        <v>0</v>
      </c>
      <c r="G1138" s="74">
        <f t="shared" si="35"/>
        <v>0</v>
      </c>
      <c r="H1138" s="76">
        <f>MIN(H1139:H1146)</f>
        <v>0</v>
      </c>
      <c r="I1138" s="76">
        <f>MAX(I1139:I1146)</f>
        <v>0</v>
      </c>
      <c r="J1138" s="77"/>
    </row>
    <row r="1139" spans="1:10" hidden="1" outlineLevel="3" x14ac:dyDescent="0.35">
      <c r="A1139" s="78">
        <v>5</v>
      </c>
      <c r="B1139" s="78" t="s">
        <v>385</v>
      </c>
      <c r="C1139" s="78" t="s">
        <v>1356</v>
      </c>
      <c r="D1139" s="79"/>
      <c r="E1139" s="87"/>
      <c r="F1139" s="80">
        <f t="shared" si="34"/>
        <v>0</v>
      </c>
      <c r="G1139" s="80">
        <f t="shared" si="35"/>
        <v>0</v>
      </c>
      <c r="H1139" s="81"/>
      <c r="I1139" s="81"/>
      <c r="J1139" s="82"/>
    </row>
    <row r="1140" spans="1:10" hidden="1" outlineLevel="3" x14ac:dyDescent="0.35">
      <c r="A1140" s="78">
        <v>5</v>
      </c>
      <c r="B1140" s="78" t="s">
        <v>385</v>
      </c>
      <c r="C1140" s="78" t="s">
        <v>1357</v>
      </c>
      <c r="D1140" s="79"/>
      <c r="E1140" s="87"/>
      <c r="F1140" s="80">
        <f t="shared" si="34"/>
        <v>0</v>
      </c>
      <c r="G1140" s="80">
        <f t="shared" si="35"/>
        <v>0</v>
      </c>
      <c r="H1140" s="81"/>
      <c r="I1140" s="81"/>
      <c r="J1140" s="82"/>
    </row>
    <row r="1141" spans="1:10" hidden="1" outlineLevel="3" x14ac:dyDescent="0.35">
      <c r="A1141" s="78">
        <v>5</v>
      </c>
      <c r="B1141" s="78" t="s">
        <v>385</v>
      </c>
      <c r="C1141" s="78" t="s">
        <v>1358</v>
      </c>
      <c r="D1141" s="79"/>
      <c r="E1141" s="87"/>
      <c r="F1141" s="80">
        <f t="shared" si="34"/>
        <v>0</v>
      </c>
      <c r="G1141" s="80">
        <f t="shared" si="35"/>
        <v>0</v>
      </c>
      <c r="H1141" s="81"/>
      <c r="I1141" s="81"/>
      <c r="J1141" s="82"/>
    </row>
    <row r="1142" spans="1:10" hidden="1" outlineLevel="3" x14ac:dyDescent="0.35">
      <c r="A1142" s="78">
        <v>5</v>
      </c>
      <c r="B1142" s="78" t="s">
        <v>385</v>
      </c>
      <c r="C1142" s="78" t="s">
        <v>1359</v>
      </c>
      <c r="D1142" s="79"/>
      <c r="E1142" s="87"/>
      <c r="F1142" s="80">
        <f t="shared" si="34"/>
        <v>0</v>
      </c>
      <c r="G1142" s="80">
        <f t="shared" si="35"/>
        <v>0</v>
      </c>
      <c r="H1142" s="81"/>
      <c r="I1142" s="81"/>
      <c r="J1142" s="82"/>
    </row>
    <row r="1143" spans="1:10" hidden="1" outlineLevel="3" x14ac:dyDescent="0.35">
      <c r="A1143" s="78">
        <v>5</v>
      </c>
      <c r="B1143" s="78" t="s">
        <v>385</v>
      </c>
      <c r="C1143" s="78" t="s">
        <v>1360</v>
      </c>
      <c r="D1143" s="79"/>
      <c r="E1143" s="87"/>
      <c r="F1143" s="80">
        <f t="shared" si="34"/>
        <v>0</v>
      </c>
      <c r="G1143" s="80">
        <f t="shared" si="35"/>
        <v>0</v>
      </c>
      <c r="H1143" s="81"/>
      <c r="I1143" s="81"/>
      <c r="J1143" s="82"/>
    </row>
    <row r="1144" spans="1:10" hidden="1" outlineLevel="3" x14ac:dyDescent="0.35">
      <c r="A1144" s="78">
        <v>5</v>
      </c>
      <c r="B1144" s="78" t="s">
        <v>385</v>
      </c>
      <c r="C1144" s="78" t="s">
        <v>1361</v>
      </c>
      <c r="D1144" s="79"/>
      <c r="E1144" s="87"/>
      <c r="F1144" s="80">
        <f t="shared" si="34"/>
        <v>0</v>
      </c>
      <c r="G1144" s="80">
        <f t="shared" si="35"/>
        <v>0</v>
      </c>
      <c r="H1144" s="81"/>
      <c r="I1144" s="81"/>
      <c r="J1144" s="82"/>
    </row>
    <row r="1145" spans="1:10" hidden="1" outlineLevel="3" x14ac:dyDescent="0.35">
      <c r="A1145" s="78">
        <v>5</v>
      </c>
      <c r="B1145" s="78" t="s">
        <v>385</v>
      </c>
      <c r="C1145" s="78" t="s">
        <v>1362</v>
      </c>
      <c r="D1145" s="79"/>
      <c r="E1145" s="87"/>
      <c r="F1145" s="80">
        <f t="shared" si="34"/>
        <v>0</v>
      </c>
      <c r="G1145" s="80">
        <f t="shared" si="35"/>
        <v>0</v>
      </c>
      <c r="H1145" s="81"/>
      <c r="I1145" s="81"/>
      <c r="J1145" s="82"/>
    </row>
    <row r="1146" spans="1:10" hidden="1" outlineLevel="3" x14ac:dyDescent="0.35">
      <c r="A1146" s="78">
        <v>5</v>
      </c>
      <c r="B1146" s="78" t="s">
        <v>385</v>
      </c>
      <c r="C1146" s="78" t="s">
        <v>1363</v>
      </c>
      <c r="D1146" s="79"/>
      <c r="E1146" s="87"/>
      <c r="F1146" s="80">
        <f t="shared" si="34"/>
        <v>0</v>
      </c>
      <c r="G1146" s="80">
        <f t="shared" si="35"/>
        <v>0</v>
      </c>
      <c r="H1146" s="81"/>
      <c r="I1146" s="81"/>
      <c r="J1146" s="82"/>
    </row>
    <row r="1147" spans="1:10" hidden="1" outlineLevel="2" collapsed="1" x14ac:dyDescent="0.35">
      <c r="A1147" s="74">
        <v>4</v>
      </c>
      <c r="B1147" s="74" t="s">
        <v>392</v>
      </c>
      <c r="C1147" s="74" t="s">
        <v>1364</v>
      </c>
      <c r="D1147" s="75" t="s">
        <v>444</v>
      </c>
      <c r="E1147" s="86" t="str">
        <f>IFERROR(SUBTOTAL(1,E1148:E1155),"")</f>
        <v/>
      </c>
      <c r="F1147" s="74">
        <f t="shared" si="34"/>
        <v>0</v>
      </c>
      <c r="G1147" s="74">
        <f t="shared" si="35"/>
        <v>0</v>
      </c>
      <c r="H1147" s="76">
        <f>MIN(H1148:H1155)</f>
        <v>0</v>
      </c>
      <c r="I1147" s="76">
        <f>MAX(I1148:I1155)</f>
        <v>0</v>
      </c>
      <c r="J1147" s="77"/>
    </row>
    <row r="1148" spans="1:10" hidden="1" outlineLevel="3" x14ac:dyDescent="0.35">
      <c r="A1148" s="78">
        <v>5</v>
      </c>
      <c r="B1148" s="78" t="s">
        <v>385</v>
      </c>
      <c r="C1148" s="78" t="s">
        <v>1494</v>
      </c>
      <c r="D1148" s="79"/>
      <c r="E1148" s="87"/>
      <c r="F1148" s="80">
        <f t="shared" si="34"/>
        <v>0</v>
      </c>
      <c r="G1148" s="80">
        <f t="shared" si="35"/>
        <v>0</v>
      </c>
      <c r="H1148" s="81"/>
      <c r="I1148" s="81"/>
      <c r="J1148" s="82"/>
    </row>
    <row r="1149" spans="1:10" hidden="1" outlineLevel="3" x14ac:dyDescent="0.35">
      <c r="A1149" s="78">
        <v>5</v>
      </c>
      <c r="B1149" s="78" t="s">
        <v>385</v>
      </c>
      <c r="C1149" s="78" t="s">
        <v>1495</v>
      </c>
      <c r="D1149" s="79"/>
      <c r="E1149" s="87"/>
      <c r="F1149" s="80">
        <f t="shared" si="34"/>
        <v>0</v>
      </c>
      <c r="G1149" s="80">
        <f t="shared" si="35"/>
        <v>0</v>
      </c>
      <c r="H1149" s="81"/>
      <c r="I1149" s="81"/>
      <c r="J1149" s="82"/>
    </row>
    <row r="1150" spans="1:10" hidden="1" outlineLevel="3" x14ac:dyDescent="0.35">
      <c r="A1150" s="78">
        <v>5</v>
      </c>
      <c r="B1150" s="78" t="s">
        <v>385</v>
      </c>
      <c r="C1150" s="78" t="s">
        <v>1496</v>
      </c>
      <c r="D1150" s="79"/>
      <c r="E1150" s="87"/>
      <c r="F1150" s="80">
        <f t="shared" si="34"/>
        <v>0</v>
      </c>
      <c r="G1150" s="80">
        <f t="shared" si="35"/>
        <v>0</v>
      </c>
      <c r="H1150" s="81"/>
      <c r="I1150" s="81"/>
      <c r="J1150" s="82"/>
    </row>
    <row r="1151" spans="1:10" hidden="1" outlineLevel="3" x14ac:dyDescent="0.35">
      <c r="A1151" s="78">
        <v>5</v>
      </c>
      <c r="B1151" s="78" t="s">
        <v>385</v>
      </c>
      <c r="C1151" s="78" t="s">
        <v>1497</v>
      </c>
      <c r="D1151" s="79"/>
      <c r="E1151" s="87"/>
      <c r="F1151" s="80">
        <f t="shared" si="34"/>
        <v>0</v>
      </c>
      <c r="G1151" s="80">
        <f t="shared" si="35"/>
        <v>0</v>
      </c>
      <c r="H1151" s="81"/>
      <c r="I1151" s="81"/>
      <c r="J1151" s="82"/>
    </row>
    <row r="1152" spans="1:10" hidden="1" outlineLevel="3" x14ac:dyDescent="0.35">
      <c r="A1152" s="78">
        <v>5</v>
      </c>
      <c r="B1152" s="78" t="s">
        <v>385</v>
      </c>
      <c r="C1152" s="78" t="s">
        <v>1498</v>
      </c>
      <c r="D1152" s="79"/>
      <c r="E1152" s="87"/>
      <c r="F1152" s="80">
        <f t="shared" si="34"/>
        <v>0</v>
      </c>
      <c r="G1152" s="80">
        <f t="shared" si="35"/>
        <v>0</v>
      </c>
      <c r="H1152" s="81"/>
      <c r="I1152" s="81"/>
      <c r="J1152" s="82"/>
    </row>
    <row r="1153" spans="1:10" hidden="1" outlineLevel="3" x14ac:dyDescent="0.35">
      <c r="A1153" s="78">
        <v>5</v>
      </c>
      <c r="B1153" s="78" t="s">
        <v>385</v>
      </c>
      <c r="C1153" s="78" t="s">
        <v>1499</v>
      </c>
      <c r="D1153" s="79"/>
      <c r="E1153" s="87"/>
      <c r="F1153" s="80">
        <f t="shared" si="34"/>
        <v>0</v>
      </c>
      <c r="G1153" s="80">
        <f t="shared" si="35"/>
        <v>0</v>
      </c>
      <c r="H1153" s="81"/>
      <c r="I1153" s="81"/>
      <c r="J1153" s="82"/>
    </row>
    <row r="1154" spans="1:10" hidden="1" outlineLevel="3" x14ac:dyDescent="0.35">
      <c r="A1154" s="78">
        <v>5</v>
      </c>
      <c r="B1154" s="78" t="s">
        <v>385</v>
      </c>
      <c r="C1154" s="78" t="s">
        <v>1500</v>
      </c>
      <c r="D1154" s="79"/>
      <c r="E1154" s="87"/>
      <c r="F1154" s="80">
        <f t="shared" si="34"/>
        <v>0</v>
      </c>
      <c r="G1154" s="80">
        <f t="shared" si="35"/>
        <v>0</v>
      </c>
      <c r="H1154" s="81"/>
      <c r="I1154" s="81"/>
      <c r="J1154" s="82"/>
    </row>
    <row r="1155" spans="1:10" hidden="1" outlineLevel="3" x14ac:dyDescent="0.35">
      <c r="A1155" s="78">
        <v>5</v>
      </c>
      <c r="B1155" s="78" t="s">
        <v>385</v>
      </c>
      <c r="C1155" s="78" t="s">
        <v>1501</v>
      </c>
      <c r="D1155" s="79"/>
      <c r="E1155" s="87"/>
      <c r="F1155" s="80">
        <f t="shared" si="34"/>
        <v>0</v>
      </c>
      <c r="G1155" s="80">
        <f t="shared" si="35"/>
        <v>0</v>
      </c>
      <c r="H1155" s="81"/>
      <c r="I1155" s="81"/>
      <c r="J1155" s="82"/>
    </row>
    <row r="1156" spans="1:10" outlineLevel="1" collapsed="1" x14ac:dyDescent="0.35">
      <c r="A1156" s="67">
        <v>3</v>
      </c>
      <c r="B1156" s="67" t="s">
        <v>298</v>
      </c>
      <c r="C1156" s="67" t="s">
        <v>1365</v>
      </c>
      <c r="D1156" s="73" t="s">
        <v>1318</v>
      </c>
      <c r="E1156" s="85" t="str">
        <f>IFERROR(AVERAGE(E1157,E1166,E1175,E1184,E1193,E1202),"")</f>
        <v/>
      </c>
      <c r="F1156" s="67">
        <f t="shared" si="34"/>
        <v>0</v>
      </c>
      <c r="G1156" s="67">
        <f t="shared" si="35"/>
        <v>0</v>
      </c>
      <c r="H1156" s="72">
        <f>MIN(H1157,H1166,H1175,H1184,H1193,H1202)</f>
        <v>0</v>
      </c>
      <c r="I1156" s="72">
        <f>MAX(I1157,I1166,I1175,I1184,I1193,I1202)</f>
        <v>0</v>
      </c>
      <c r="J1156" s="71"/>
    </row>
    <row r="1157" spans="1:10" hidden="1" outlineLevel="2" collapsed="1" x14ac:dyDescent="0.35">
      <c r="A1157" s="74">
        <v>4</v>
      </c>
      <c r="B1157" s="74" t="s">
        <v>392</v>
      </c>
      <c r="C1157" s="74" t="s">
        <v>1367</v>
      </c>
      <c r="D1157" s="75" t="s">
        <v>394</v>
      </c>
      <c r="E1157" s="86" t="str">
        <f>IFERROR(SUBTOTAL(1,E1158:E1165),"")</f>
        <v/>
      </c>
      <c r="F1157" s="74">
        <f t="shared" si="34"/>
        <v>0</v>
      </c>
      <c r="G1157" s="74">
        <f t="shared" si="35"/>
        <v>0</v>
      </c>
      <c r="H1157" s="76">
        <f>MIN(H1158:H1165)</f>
        <v>0</v>
      </c>
      <c r="I1157" s="76">
        <f>MAX(I1158:I1165)</f>
        <v>0</v>
      </c>
      <c r="J1157" s="77"/>
    </row>
    <row r="1158" spans="1:10" hidden="1" outlineLevel="3" x14ac:dyDescent="0.35">
      <c r="A1158" s="78">
        <v>5</v>
      </c>
      <c r="B1158" s="78" t="s">
        <v>385</v>
      </c>
      <c r="C1158" s="78" t="s">
        <v>1368</v>
      </c>
      <c r="D1158" s="79"/>
      <c r="E1158" s="87"/>
      <c r="F1158" s="80">
        <f t="shared" ref="F1158:F1221" si="36">IFERROR(DATEDIF(H1158,I1158,"D"),0)</f>
        <v>0</v>
      </c>
      <c r="G1158" s="80">
        <f t="shared" ref="G1158:G1221" si="37">IFERROR(NETWORKDAYS.INTL(H1158,I1158),0)</f>
        <v>0</v>
      </c>
      <c r="H1158" s="81"/>
      <c r="I1158" s="81"/>
      <c r="J1158" s="82"/>
    </row>
    <row r="1159" spans="1:10" hidden="1" outlineLevel="3" x14ac:dyDescent="0.35">
      <c r="A1159" s="78">
        <v>5</v>
      </c>
      <c r="B1159" s="78" t="s">
        <v>385</v>
      </c>
      <c r="C1159" s="78" t="s">
        <v>1369</v>
      </c>
      <c r="D1159" s="79"/>
      <c r="E1159" s="87"/>
      <c r="F1159" s="80">
        <f t="shared" si="36"/>
        <v>0</v>
      </c>
      <c r="G1159" s="80">
        <f t="shared" si="37"/>
        <v>0</v>
      </c>
      <c r="H1159" s="81"/>
      <c r="I1159" s="81"/>
      <c r="J1159" s="82"/>
    </row>
    <row r="1160" spans="1:10" hidden="1" outlineLevel="3" x14ac:dyDescent="0.35">
      <c r="A1160" s="78">
        <v>5</v>
      </c>
      <c r="B1160" s="78" t="s">
        <v>385</v>
      </c>
      <c r="C1160" s="78" t="s">
        <v>1370</v>
      </c>
      <c r="D1160" s="79"/>
      <c r="E1160" s="87"/>
      <c r="F1160" s="80">
        <f t="shared" si="36"/>
        <v>0</v>
      </c>
      <c r="G1160" s="80">
        <f t="shared" si="37"/>
        <v>0</v>
      </c>
      <c r="H1160" s="81"/>
      <c r="I1160" s="81"/>
      <c r="J1160" s="82"/>
    </row>
    <row r="1161" spans="1:10" hidden="1" outlineLevel="3" x14ac:dyDescent="0.35">
      <c r="A1161" s="78">
        <v>5</v>
      </c>
      <c r="B1161" s="78" t="s">
        <v>385</v>
      </c>
      <c r="C1161" s="78" t="s">
        <v>1371</v>
      </c>
      <c r="D1161" s="79"/>
      <c r="E1161" s="87"/>
      <c r="F1161" s="80">
        <f t="shared" si="36"/>
        <v>0</v>
      </c>
      <c r="G1161" s="80">
        <f t="shared" si="37"/>
        <v>0</v>
      </c>
      <c r="H1161" s="81"/>
      <c r="I1161" s="81"/>
      <c r="J1161" s="82"/>
    </row>
    <row r="1162" spans="1:10" hidden="1" outlineLevel="3" x14ac:dyDescent="0.35">
      <c r="A1162" s="78">
        <v>5</v>
      </c>
      <c r="B1162" s="78" t="s">
        <v>385</v>
      </c>
      <c r="C1162" s="78" t="s">
        <v>1372</v>
      </c>
      <c r="D1162" s="79"/>
      <c r="E1162" s="87"/>
      <c r="F1162" s="80">
        <f t="shared" si="36"/>
        <v>0</v>
      </c>
      <c r="G1162" s="80">
        <f t="shared" si="37"/>
        <v>0</v>
      </c>
      <c r="H1162" s="81"/>
      <c r="I1162" s="81"/>
      <c r="J1162" s="82"/>
    </row>
    <row r="1163" spans="1:10" hidden="1" outlineLevel="3" x14ac:dyDescent="0.35">
      <c r="A1163" s="78">
        <v>5</v>
      </c>
      <c r="B1163" s="78" t="s">
        <v>385</v>
      </c>
      <c r="C1163" s="78" t="s">
        <v>1373</v>
      </c>
      <c r="D1163" s="79"/>
      <c r="E1163" s="87"/>
      <c r="F1163" s="80">
        <f t="shared" si="36"/>
        <v>0</v>
      </c>
      <c r="G1163" s="80">
        <f t="shared" si="37"/>
        <v>0</v>
      </c>
      <c r="H1163" s="81"/>
      <c r="I1163" s="81"/>
      <c r="J1163" s="82"/>
    </row>
    <row r="1164" spans="1:10" hidden="1" outlineLevel="3" x14ac:dyDescent="0.35">
      <c r="A1164" s="78">
        <v>5</v>
      </c>
      <c r="B1164" s="78" t="s">
        <v>385</v>
      </c>
      <c r="C1164" s="78" t="s">
        <v>1374</v>
      </c>
      <c r="D1164" s="79"/>
      <c r="E1164" s="87"/>
      <c r="F1164" s="80">
        <f t="shared" si="36"/>
        <v>0</v>
      </c>
      <c r="G1164" s="80">
        <f t="shared" si="37"/>
        <v>0</v>
      </c>
      <c r="H1164" s="81"/>
      <c r="I1164" s="81"/>
      <c r="J1164" s="82"/>
    </row>
    <row r="1165" spans="1:10" hidden="1" outlineLevel="3" x14ac:dyDescent="0.35">
      <c r="A1165" s="78">
        <v>5</v>
      </c>
      <c r="B1165" s="78" t="s">
        <v>385</v>
      </c>
      <c r="C1165" s="78" t="s">
        <v>1375</v>
      </c>
      <c r="D1165" s="79"/>
      <c r="E1165" s="87"/>
      <c r="F1165" s="80">
        <f t="shared" si="36"/>
        <v>0</v>
      </c>
      <c r="G1165" s="80">
        <f t="shared" si="37"/>
        <v>0</v>
      </c>
      <c r="H1165" s="81"/>
      <c r="I1165" s="81"/>
      <c r="J1165" s="82"/>
    </row>
    <row r="1166" spans="1:10" hidden="1" outlineLevel="2" collapsed="1" x14ac:dyDescent="0.35">
      <c r="A1166" s="74">
        <v>4</v>
      </c>
      <c r="B1166" s="74" t="s">
        <v>392</v>
      </c>
      <c r="C1166" s="74" t="s">
        <v>1376</v>
      </c>
      <c r="D1166" s="75" t="s">
        <v>404</v>
      </c>
      <c r="E1166" s="86" t="str">
        <f>IFERROR(SUBTOTAL(1,E1167:E1174),"")</f>
        <v/>
      </c>
      <c r="F1166" s="74">
        <f t="shared" si="36"/>
        <v>0</v>
      </c>
      <c r="G1166" s="74">
        <f t="shared" si="37"/>
        <v>0</v>
      </c>
      <c r="H1166" s="76">
        <f>MIN(H1167:H1174)</f>
        <v>0</v>
      </c>
      <c r="I1166" s="76">
        <f>MAX(I1167:I1174)</f>
        <v>0</v>
      </c>
      <c r="J1166" s="77"/>
    </row>
    <row r="1167" spans="1:10" hidden="1" outlineLevel="3" x14ac:dyDescent="0.35">
      <c r="A1167" s="78">
        <v>5</v>
      </c>
      <c r="B1167" s="78" t="s">
        <v>385</v>
      </c>
      <c r="C1167" s="78" t="s">
        <v>1377</v>
      </c>
      <c r="D1167" s="79"/>
      <c r="E1167" s="87"/>
      <c r="F1167" s="80">
        <f t="shared" si="36"/>
        <v>0</v>
      </c>
      <c r="G1167" s="80">
        <f t="shared" si="37"/>
        <v>0</v>
      </c>
      <c r="H1167" s="81"/>
      <c r="I1167" s="81"/>
      <c r="J1167" s="82"/>
    </row>
    <row r="1168" spans="1:10" hidden="1" outlineLevel="3" x14ac:dyDescent="0.35">
      <c r="A1168" s="78">
        <v>5</v>
      </c>
      <c r="B1168" s="78" t="s">
        <v>385</v>
      </c>
      <c r="C1168" s="78" t="s">
        <v>1378</v>
      </c>
      <c r="D1168" s="79"/>
      <c r="E1168" s="87"/>
      <c r="F1168" s="80">
        <f t="shared" si="36"/>
        <v>0</v>
      </c>
      <c r="G1168" s="80">
        <f t="shared" si="37"/>
        <v>0</v>
      </c>
      <c r="H1168" s="81"/>
      <c r="I1168" s="81"/>
      <c r="J1168" s="82"/>
    </row>
    <row r="1169" spans="1:10" hidden="1" outlineLevel="3" x14ac:dyDescent="0.35">
      <c r="A1169" s="78">
        <v>5</v>
      </c>
      <c r="B1169" s="78" t="s">
        <v>385</v>
      </c>
      <c r="C1169" s="78" t="s">
        <v>1379</v>
      </c>
      <c r="D1169" s="79"/>
      <c r="E1169" s="87"/>
      <c r="F1169" s="80">
        <f t="shared" si="36"/>
        <v>0</v>
      </c>
      <c r="G1169" s="80">
        <f t="shared" si="37"/>
        <v>0</v>
      </c>
      <c r="H1169" s="81"/>
      <c r="I1169" s="81"/>
      <c r="J1169" s="82"/>
    </row>
    <row r="1170" spans="1:10" hidden="1" outlineLevel="3" x14ac:dyDescent="0.35">
      <c r="A1170" s="78">
        <v>5</v>
      </c>
      <c r="B1170" s="78" t="s">
        <v>385</v>
      </c>
      <c r="C1170" s="78" t="s">
        <v>1380</v>
      </c>
      <c r="D1170" s="79"/>
      <c r="E1170" s="87"/>
      <c r="F1170" s="80">
        <f t="shared" si="36"/>
        <v>0</v>
      </c>
      <c r="G1170" s="80">
        <f t="shared" si="37"/>
        <v>0</v>
      </c>
      <c r="H1170" s="81"/>
      <c r="I1170" s="81"/>
      <c r="J1170" s="82"/>
    </row>
    <row r="1171" spans="1:10" hidden="1" outlineLevel="3" x14ac:dyDescent="0.35">
      <c r="A1171" s="78">
        <v>5</v>
      </c>
      <c r="B1171" s="78" t="s">
        <v>385</v>
      </c>
      <c r="C1171" s="78" t="s">
        <v>1381</v>
      </c>
      <c r="D1171" s="79"/>
      <c r="E1171" s="87"/>
      <c r="F1171" s="80">
        <f t="shared" si="36"/>
        <v>0</v>
      </c>
      <c r="G1171" s="80">
        <f t="shared" si="37"/>
        <v>0</v>
      </c>
      <c r="H1171" s="81"/>
      <c r="I1171" s="81"/>
      <c r="J1171" s="82"/>
    </row>
    <row r="1172" spans="1:10" hidden="1" outlineLevel="3" x14ac:dyDescent="0.35">
      <c r="A1172" s="78">
        <v>5</v>
      </c>
      <c r="B1172" s="78" t="s">
        <v>385</v>
      </c>
      <c r="C1172" s="78" t="s">
        <v>1382</v>
      </c>
      <c r="D1172" s="79"/>
      <c r="E1172" s="87"/>
      <c r="F1172" s="80">
        <f t="shared" si="36"/>
        <v>0</v>
      </c>
      <c r="G1172" s="80">
        <f t="shared" si="37"/>
        <v>0</v>
      </c>
      <c r="H1172" s="81"/>
      <c r="I1172" s="81"/>
      <c r="J1172" s="82"/>
    </row>
    <row r="1173" spans="1:10" hidden="1" outlineLevel="3" x14ac:dyDescent="0.35">
      <c r="A1173" s="78">
        <v>5</v>
      </c>
      <c r="B1173" s="78" t="s">
        <v>385</v>
      </c>
      <c r="C1173" s="78" t="s">
        <v>1383</v>
      </c>
      <c r="D1173" s="79"/>
      <c r="E1173" s="87"/>
      <c r="F1173" s="80">
        <f t="shared" si="36"/>
        <v>0</v>
      </c>
      <c r="G1173" s="80">
        <f t="shared" si="37"/>
        <v>0</v>
      </c>
      <c r="H1173" s="81"/>
      <c r="I1173" s="81"/>
      <c r="J1173" s="82"/>
    </row>
    <row r="1174" spans="1:10" hidden="1" outlineLevel="3" x14ac:dyDescent="0.35">
      <c r="A1174" s="78">
        <v>5</v>
      </c>
      <c r="B1174" s="78" t="s">
        <v>385</v>
      </c>
      <c r="C1174" s="78" t="s">
        <v>1384</v>
      </c>
      <c r="D1174" s="79"/>
      <c r="E1174" s="87"/>
      <c r="F1174" s="80">
        <f t="shared" si="36"/>
        <v>0</v>
      </c>
      <c r="G1174" s="80">
        <f t="shared" si="37"/>
        <v>0</v>
      </c>
      <c r="H1174" s="81"/>
      <c r="I1174" s="81"/>
      <c r="J1174" s="82"/>
    </row>
    <row r="1175" spans="1:10" hidden="1" outlineLevel="2" collapsed="1" x14ac:dyDescent="0.35">
      <c r="A1175" s="74">
        <v>4</v>
      </c>
      <c r="B1175" s="74" t="s">
        <v>392</v>
      </c>
      <c r="C1175" s="74" t="s">
        <v>1385</v>
      </c>
      <c r="D1175" s="75" t="s">
        <v>414</v>
      </c>
      <c r="E1175" s="86" t="str">
        <f>IFERROR(SUBTOTAL(1,E1176:E1183),"")</f>
        <v/>
      </c>
      <c r="F1175" s="74">
        <f t="shared" si="36"/>
        <v>0</v>
      </c>
      <c r="G1175" s="74">
        <f t="shared" si="37"/>
        <v>0</v>
      </c>
      <c r="H1175" s="76">
        <f>MIN(H1176:H1183)</f>
        <v>0</v>
      </c>
      <c r="I1175" s="76">
        <f>MAX(I1176:I1183)</f>
        <v>0</v>
      </c>
      <c r="J1175" s="77"/>
    </row>
    <row r="1176" spans="1:10" hidden="1" outlineLevel="3" x14ac:dyDescent="0.35">
      <c r="A1176" s="78">
        <v>5</v>
      </c>
      <c r="B1176" s="78" t="s">
        <v>385</v>
      </c>
      <c r="C1176" s="78" t="s">
        <v>1386</v>
      </c>
      <c r="D1176" s="79"/>
      <c r="E1176" s="87"/>
      <c r="F1176" s="80">
        <f t="shared" si="36"/>
        <v>0</v>
      </c>
      <c r="G1176" s="80">
        <f t="shared" si="37"/>
        <v>0</v>
      </c>
      <c r="H1176" s="81"/>
      <c r="I1176" s="81"/>
      <c r="J1176" s="82"/>
    </row>
    <row r="1177" spans="1:10" hidden="1" outlineLevel="3" x14ac:dyDescent="0.35">
      <c r="A1177" s="78">
        <v>5</v>
      </c>
      <c r="B1177" s="78" t="s">
        <v>385</v>
      </c>
      <c r="C1177" s="78" t="s">
        <v>1387</v>
      </c>
      <c r="D1177" s="79"/>
      <c r="E1177" s="87"/>
      <c r="F1177" s="80">
        <f t="shared" si="36"/>
        <v>0</v>
      </c>
      <c r="G1177" s="80">
        <f t="shared" si="37"/>
        <v>0</v>
      </c>
      <c r="H1177" s="81"/>
      <c r="I1177" s="81"/>
      <c r="J1177" s="82"/>
    </row>
    <row r="1178" spans="1:10" hidden="1" outlineLevel="3" x14ac:dyDescent="0.35">
      <c r="A1178" s="78">
        <v>5</v>
      </c>
      <c r="B1178" s="78" t="s">
        <v>385</v>
      </c>
      <c r="C1178" s="78" t="s">
        <v>1388</v>
      </c>
      <c r="D1178" s="79"/>
      <c r="E1178" s="87"/>
      <c r="F1178" s="80">
        <f t="shared" si="36"/>
        <v>0</v>
      </c>
      <c r="G1178" s="80">
        <f t="shared" si="37"/>
        <v>0</v>
      </c>
      <c r="H1178" s="81"/>
      <c r="I1178" s="81"/>
      <c r="J1178" s="82"/>
    </row>
    <row r="1179" spans="1:10" hidden="1" outlineLevel="3" x14ac:dyDescent="0.35">
      <c r="A1179" s="78">
        <v>5</v>
      </c>
      <c r="B1179" s="78" t="s">
        <v>385</v>
      </c>
      <c r="C1179" s="78" t="s">
        <v>1389</v>
      </c>
      <c r="D1179" s="79"/>
      <c r="E1179" s="87"/>
      <c r="F1179" s="80">
        <f t="shared" si="36"/>
        <v>0</v>
      </c>
      <c r="G1179" s="80">
        <f t="shared" si="37"/>
        <v>0</v>
      </c>
      <c r="H1179" s="81"/>
      <c r="I1179" s="81"/>
      <c r="J1179" s="82"/>
    </row>
    <row r="1180" spans="1:10" hidden="1" outlineLevel="3" x14ac:dyDescent="0.35">
      <c r="A1180" s="78">
        <v>5</v>
      </c>
      <c r="B1180" s="78" t="s">
        <v>385</v>
      </c>
      <c r="C1180" s="78" t="s">
        <v>1390</v>
      </c>
      <c r="D1180" s="79"/>
      <c r="E1180" s="87"/>
      <c r="F1180" s="80">
        <f t="shared" si="36"/>
        <v>0</v>
      </c>
      <c r="G1180" s="80">
        <f t="shared" si="37"/>
        <v>0</v>
      </c>
      <c r="H1180" s="81"/>
      <c r="I1180" s="81"/>
      <c r="J1180" s="82"/>
    </row>
    <row r="1181" spans="1:10" hidden="1" outlineLevel="3" x14ac:dyDescent="0.35">
      <c r="A1181" s="78">
        <v>5</v>
      </c>
      <c r="B1181" s="78" t="s">
        <v>385</v>
      </c>
      <c r="C1181" s="78" t="s">
        <v>1391</v>
      </c>
      <c r="D1181" s="79"/>
      <c r="E1181" s="87"/>
      <c r="F1181" s="80">
        <f t="shared" si="36"/>
        <v>0</v>
      </c>
      <c r="G1181" s="80">
        <f t="shared" si="37"/>
        <v>0</v>
      </c>
      <c r="H1181" s="81"/>
      <c r="I1181" s="81"/>
      <c r="J1181" s="82"/>
    </row>
    <row r="1182" spans="1:10" hidden="1" outlineLevel="3" x14ac:dyDescent="0.35">
      <c r="A1182" s="78">
        <v>5</v>
      </c>
      <c r="B1182" s="78" t="s">
        <v>385</v>
      </c>
      <c r="C1182" s="78" t="s">
        <v>1392</v>
      </c>
      <c r="D1182" s="79"/>
      <c r="E1182" s="87"/>
      <c r="F1182" s="80">
        <f t="shared" si="36"/>
        <v>0</v>
      </c>
      <c r="G1182" s="80">
        <f t="shared" si="37"/>
        <v>0</v>
      </c>
      <c r="H1182" s="81"/>
      <c r="I1182" s="81"/>
      <c r="J1182" s="82"/>
    </row>
    <row r="1183" spans="1:10" hidden="1" outlineLevel="3" x14ac:dyDescent="0.35">
      <c r="A1183" s="78">
        <v>5</v>
      </c>
      <c r="B1183" s="78" t="s">
        <v>385</v>
      </c>
      <c r="C1183" s="78" t="s">
        <v>1393</v>
      </c>
      <c r="D1183" s="79"/>
      <c r="E1183" s="87"/>
      <c r="F1183" s="80">
        <f t="shared" si="36"/>
        <v>0</v>
      </c>
      <c r="G1183" s="80">
        <f t="shared" si="37"/>
        <v>0</v>
      </c>
      <c r="H1183" s="81"/>
      <c r="I1183" s="81"/>
      <c r="J1183" s="82"/>
    </row>
    <row r="1184" spans="1:10" hidden="1" outlineLevel="2" collapsed="1" x14ac:dyDescent="0.35">
      <c r="A1184" s="74">
        <v>4</v>
      </c>
      <c r="B1184" s="74" t="s">
        <v>392</v>
      </c>
      <c r="C1184" s="74" t="s">
        <v>1394</v>
      </c>
      <c r="D1184" s="75" t="s">
        <v>424</v>
      </c>
      <c r="E1184" s="86" t="str">
        <f>IFERROR(SUBTOTAL(1,E1185:E1192),"")</f>
        <v/>
      </c>
      <c r="F1184" s="74">
        <f t="shared" si="36"/>
        <v>0</v>
      </c>
      <c r="G1184" s="74">
        <f t="shared" si="37"/>
        <v>0</v>
      </c>
      <c r="H1184" s="76">
        <f>MIN(H1185:H1192)</f>
        <v>0</v>
      </c>
      <c r="I1184" s="76">
        <f>MAX(I1185:I1192)</f>
        <v>0</v>
      </c>
      <c r="J1184" s="77"/>
    </row>
    <row r="1185" spans="1:10" hidden="1" outlineLevel="3" x14ac:dyDescent="0.35">
      <c r="A1185" s="78">
        <v>5</v>
      </c>
      <c r="B1185" s="78" t="s">
        <v>385</v>
      </c>
      <c r="C1185" s="78" t="s">
        <v>1395</v>
      </c>
      <c r="D1185" s="79"/>
      <c r="E1185" s="87"/>
      <c r="F1185" s="80">
        <f t="shared" si="36"/>
        <v>0</v>
      </c>
      <c r="G1185" s="80">
        <f t="shared" si="37"/>
        <v>0</v>
      </c>
      <c r="H1185" s="81"/>
      <c r="I1185" s="81"/>
      <c r="J1185" s="82"/>
    </row>
    <row r="1186" spans="1:10" hidden="1" outlineLevel="3" x14ac:dyDescent="0.35">
      <c r="A1186" s="78">
        <v>5</v>
      </c>
      <c r="B1186" s="78" t="s">
        <v>385</v>
      </c>
      <c r="C1186" s="78" t="s">
        <v>1396</v>
      </c>
      <c r="D1186" s="79"/>
      <c r="E1186" s="87"/>
      <c r="F1186" s="80">
        <f t="shared" si="36"/>
        <v>0</v>
      </c>
      <c r="G1186" s="80">
        <f t="shared" si="37"/>
        <v>0</v>
      </c>
      <c r="H1186" s="81"/>
      <c r="I1186" s="81"/>
      <c r="J1186" s="82"/>
    </row>
    <row r="1187" spans="1:10" hidden="1" outlineLevel="3" x14ac:dyDescent="0.35">
      <c r="A1187" s="78">
        <v>5</v>
      </c>
      <c r="B1187" s="78" t="s">
        <v>385</v>
      </c>
      <c r="C1187" s="78" t="s">
        <v>1397</v>
      </c>
      <c r="D1187" s="79"/>
      <c r="E1187" s="87"/>
      <c r="F1187" s="80">
        <f t="shared" si="36"/>
        <v>0</v>
      </c>
      <c r="G1187" s="80">
        <f t="shared" si="37"/>
        <v>0</v>
      </c>
      <c r="H1187" s="81"/>
      <c r="I1187" s="81"/>
      <c r="J1187" s="82"/>
    </row>
    <row r="1188" spans="1:10" hidden="1" outlineLevel="3" x14ac:dyDescent="0.35">
      <c r="A1188" s="78">
        <v>5</v>
      </c>
      <c r="B1188" s="78" t="s">
        <v>385</v>
      </c>
      <c r="C1188" s="78" t="s">
        <v>1398</v>
      </c>
      <c r="D1188" s="79"/>
      <c r="E1188" s="87"/>
      <c r="F1188" s="80">
        <f t="shared" si="36"/>
        <v>0</v>
      </c>
      <c r="G1188" s="80">
        <f t="shared" si="37"/>
        <v>0</v>
      </c>
      <c r="H1188" s="81"/>
      <c r="I1188" s="81"/>
      <c r="J1188" s="82"/>
    </row>
    <row r="1189" spans="1:10" hidden="1" outlineLevel="3" x14ac:dyDescent="0.35">
      <c r="A1189" s="78">
        <v>5</v>
      </c>
      <c r="B1189" s="78" t="s">
        <v>385</v>
      </c>
      <c r="C1189" s="78" t="s">
        <v>1399</v>
      </c>
      <c r="D1189" s="79"/>
      <c r="E1189" s="87"/>
      <c r="F1189" s="80">
        <f t="shared" si="36"/>
        <v>0</v>
      </c>
      <c r="G1189" s="80">
        <f t="shared" si="37"/>
        <v>0</v>
      </c>
      <c r="H1189" s="81"/>
      <c r="I1189" s="81"/>
      <c r="J1189" s="82"/>
    </row>
    <row r="1190" spans="1:10" hidden="1" outlineLevel="3" x14ac:dyDescent="0.35">
      <c r="A1190" s="78">
        <v>5</v>
      </c>
      <c r="B1190" s="78" t="s">
        <v>385</v>
      </c>
      <c r="C1190" s="78" t="s">
        <v>1400</v>
      </c>
      <c r="D1190" s="79"/>
      <c r="E1190" s="87"/>
      <c r="F1190" s="80">
        <f t="shared" si="36"/>
        <v>0</v>
      </c>
      <c r="G1190" s="80">
        <f t="shared" si="37"/>
        <v>0</v>
      </c>
      <c r="H1190" s="81"/>
      <c r="I1190" s="81"/>
      <c r="J1190" s="82"/>
    </row>
    <row r="1191" spans="1:10" hidden="1" outlineLevel="3" x14ac:dyDescent="0.35">
      <c r="A1191" s="78">
        <v>5</v>
      </c>
      <c r="B1191" s="78" t="s">
        <v>385</v>
      </c>
      <c r="C1191" s="78" t="s">
        <v>1401</v>
      </c>
      <c r="D1191" s="79"/>
      <c r="E1191" s="87"/>
      <c r="F1191" s="80">
        <f t="shared" si="36"/>
        <v>0</v>
      </c>
      <c r="G1191" s="80">
        <f t="shared" si="37"/>
        <v>0</v>
      </c>
      <c r="H1191" s="81"/>
      <c r="I1191" s="81"/>
      <c r="J1191" s="82"/>
    </row>
    <row r="1192" spans="1:10" hidden="1" outlineLevel="3" x14ac:dyDescent="0.35">
      <c r="A1192" s="78">
        <v>5</v>
      </c>
      <c r="B1192" s="78" t="s">
        <v>385</v>
      </c>
      <c r="C1192" s="78" t="s">
        <v>1402</v>
      </c>
      <c r="D1192" s="79"/>
      <c r="E1192" s="87"/>
      <c r="F1192" s="80">
        <f t="shared" si="36"/>
        <v>0</v>
      </c>
      <c r="G1192" s="80">
        <f t="shared" si="37"/>
        <v>0</v>
      </c>
      <c r="H1192" s="81"/>
      <c r="I1192" s="81"/>
      <c r="J1192" s="82"/>
    </row>
    <row r="1193" spans="1:10" hidden="1" outlineLevel="2" collapsed="1" x14ac:dyDescent="0.35">
      <c r="A1193" s="74">
        <v>4</v>
      </c>
      <c r="B1193" s="74" t="s">
        <v>392</v>
      </c>
      <c r="C1193" s="74" t="s">
        <v>1403</v>
      </c>
      <c r="D1193" s="75" t="s">
        <v>434</v>
      </c>
      <c r="E1193" s="86" t="str">
        <f>IFERROR(SUBTOTAL(1,E1194:E1201),"")</f>
        <v/>
      </c>
      <c r="F1193" s="74">
        <f t="shared" si="36"/>
        <v>0</v>
      </c>
      <c r="G1193" s="74">
        <f t="shared" si="37"/>
        <v>0</v>
      </c>
      <c r="H1193" s="76">
        <f>MIN(H1194:H1201)</f>
        <v>0</v>
      </c>
      <c r="I1193" s="76">
        <f>MAX(I1194:I1201)</f>
        <v>0</v>
      </c>
      <c r="J1193" s="77"/>
    </row>
    <row r="1194" spans="1:10" hidden="1" outlineLevel="3" x14ac:dyDescent="0.35">
      <c r="A1194" s="78">
        <v>5</v>
      </c>
      <c r="B1194" s="78" t="s">
        <v>385</v>
      </c>
      <c r="C1194" s="78" t="s">
        <v>1404</v>
      </c>
      <c r="D1194" s="79"/>
      <c r="E1194" s="87"/>
      <c r="F1194" s="80">
        <f t="shared" si="36"/>
        <v>0</v>
      </c>
      <c r="G1194" s="80">
        <f t="shared" si="37"/>
        <v>0</v>
      </c>
      <c r="H1194" s="81"/>
      <c r="I1194" s="81"/>
      <c r="J1194" s="82"/>
    </row>
    <row r="1195" spans="1:10" hidden="1" outlineLevel="3" x14ac:dyDescent="0.35">
      <c r="A1195" s="78">
        <v>5</v>
      </c>
      <c r="B1195" s="78" t="s">
        <v>385</v>
      </c>
      <c r="C1195" s="78" t="s">
        <v>1405</v>
      </c>
      <c r="D1195" s="79"/>
      <c r="E1195" s="87"/>
      <c r="F1195" s="80">
        <f t="shared" si="36"/>
        <v>0</v>
      </c>
      <c r="G1195" s="80">
        <f t="shared" si="37"/>
        <v>0</v>
      </c>
      <c r="H1195" s="81"/>
      <c r="I1195" s="81"/>
      <c r="J1195" s="82"/>
    </row>
    <row r="1196" spans="1:10" hidden="1" outlineLevel="3" x14ac:dyDescent="0.35">
      <c r="A1196" s="78">
        <v>5</v>
      </c>
      <c r="B1196" s="78" t="s">
        <v>385</v>
      </c>
      <c r="C1196" s="78" t="s">
        <v>1406</v>
      </c>
      <c r="D1196" s="79"/>
      <c r="E1196" s="87"/>
      <c r="F1196" s="80">
        <f t="shared" si="36"/>
        <v>0</v>
      </c>
      <c r="G1196" s="80">
        <f t="shared" si="37"/>
        <v>0</v>
      </c>
      <c r="H1196" s="81"/>
      <c r="I1196" s="81"/>
      <c r="J1196" s="82"/>
    </row>
    <row r="1197" spans="1:10" hidden="1" outlineLevel="3" x14ac:dyDescent="0.35">
      <c r="A1197" s="78">
        <v>5</v>
      </c>
      <c r="B1197" s="78" t="s">
        <v>385</v>
      </c>
      <c r="C1197" s="78" t="s">
        <v>1407</v>
      </c>
      <c r="D1197" s="79"/>
      <c r="E1197" s="87"/>
      <c r="F1197" s="80">
        <f t="shared" si="36"/>
        <v>0</v>
      </c>
      <c r="G1197" s="80">
        <f t="shared" si="37"/>
        <v>0</v>
      </c>
      <c r="H1197" s="81"/>
      <c r="I1197" s="81"/>
      <c r="J1197" s="82"/>
    </row>
    <row r="1198" spans="1:10" hidden="1" outlineLevel="3" x14ac:dyDescent="0.35">
      <c r="A1198" s="78">
        <v>5</v>
      </c>
      <c r="B1198" s="78" t="s">
        <v>385</v>
      </c>
      <c r="C1198" s="78" t="s">
        <v>1408</v>
      </c>
      <c r="D1198" s="79"/>
      <c r="E1198" s="87"/>
      <c r="F1198" s="80">
        <f t="shared" si="36"/>
        <v>0</v>
      </c>
      <c r="G1198" s="80">
        <f t="shared" si="37"/>
        <v>0</v>
      </c>
      <c r="H1198" s="81"/>
      <c r="I1198" s="81"/>
      <c r="J1198" s="82"/>
    </row>
    <row r="1199" spans="1:10" hidden="1" outlineLevel="3" x14ac:dyDescent="0.35">
      <c r="A1199" s="78">
        <v>5</v>
      </c>
      <c r="B1199" s="78" t="s">
        <v>385</v>
      </c>
      <c r="C1199" s="78" t="s">
        <v>1409</v>
      </c>
      <c r="D1199" s="79"/>
      <c r="E1199" s="87"/>
      <c r="F1199" s="80">
        <f t="shared" si="36"/>
        <v>0</v>
      </c>
      <c r="G1199" s="80">
        <f t="shared" si="37"/>
        <v>0</v>
      </c>
      <c r="H1199" s="81"/>
      <c r="I1199" s="81"/>
      <c r="J1199" s="82"/>
    </row>
    <row r="1200" spans="1:10" hidden="1" outlineLevel="3" x14ac:dyDescent="0.35">
      <c r="A1200" s="78">
        <v>5</v>
      </c>
      <c r="B1200" s="78" t="s">
        <v>385</v>
      </c>
      <c r="C1200" s="78" t="s">
        <v>1410</v>
      </c>
      <c r="D1200" s="79"/>
      <c r="E1200" s="87"/>
      <c r="F1200" s="80">
        <f t="shared" si="36"/>
        <v>0</v>
      </c>
      <c r="G1200" s="80">
        <f t="shared" si="37"/>
        <v>0</v>
      </c>
      <c r="H1200" s="81"/>
      <c r="I1200" s="81"/>
      <c r="J1200" s="82"/>
    </row>
    <row r="1201" spans="1:10" hidden="1" outlineLevel="3" x14ac:dyDescent="0.35">
      <c r="A1201" s="78">
        <v>5</v>
      </c>
      <c r="B1201" s="78" t="s">
        <v>385</v>
      </c>
      <c r="C1201" s="78" t="s">
        <v>1411</v>
      </c>
      <c r="D1201" s="79"/>
      <c r="E1201" s="87"/>
      <c r="F1201" s="80">
        <f t="shared" si="36"/>
        <v>0</v>
      </c>
      <c r="G1201" s="80">
        <f t="shared" si="37"/>
        <v>0</v>
      </c>
      <c r="H1201" s="81"/>
      <c r="I1201" s="81"/>
      <c r="J1201" s="82"/>
    </row>
    <row r="1202" spans="1:10" hidden="1" outlineLevel="2" collapsed="1" x14ac:dyDescent="0.35">
      <c r="A1202" s="74">
        <v>4</v>
      </c>
      <c r="B1202" s="74" t="s">
        <v>392</v>
      </c>
      <c r="C1202" s="74" t="s">
        <v>1412</v>
      </c>
      <c r="D1202" s="75" t="s">
        <v>444</v>
      </c>
      <c r="E1202" s="86" t="str">
        <f>IFERROR(SUBTOTAL(1,E1203:E1210),"")</f>
        <v/>
      </c>
      <c r="F1202" s="74">
        <f t="shared" si="36"/>
        <v>0</v>
      </c>
      <c r="G1202" s="74">
        <f t="shared" si="37"/>
        <v>0</v>
      </c>
      <c r="H1202" s="76">
        <f>MIN(H1203:H1210)</f>
        <v>0</v>
      </c>
      <c r="I1202" s="76">
        <f>MAX(I1203:I1210)</f>
        <v>0</v>
      </c>
      <c r="J1202" s="77"/>
    </row>
    <row r="1203" spans="1:10" hidden="1" outlineLevel="3" x14ac:dyDescent="0.35">
      <c r="A1203" s="78">
        <v>5</v>
      </c>
      <c r="B1203" s="78" t="s">
        <v>385</v>
      </c>
      <c r="C1203" s="78" t="s">
        <v>1422</v>
      </c>
      <c r="D1203" s="79"/>
      <c r="E1203" s="87"/>
      <c r="F1203" s="80">
        <f t="shared" si="36"/>
        <v>0</v>
      </c>
      <c r="G1203" s="80">
        <f t="shared" si="37"/>
        <v>0</v>
      </c>
      <c r="H1203" s="81"/>
      <c r="I1203" s="81"/>
      <c r="J1203" s="82"/>
    </row>
    <row r="1204" spans="1:10" hidden="1" outlineLevel="3" x14ac:dyDescent="0.35">
      <c r="A1204" s="78">
        <v>5</v>
      </c>
      <c r="B1204" s="78" t="s">
        <v>385</v>
      </c>
      <c r="C1204" s="78" t="s">
        <v>1423</v>
      </c>
      <c r="D1204" s="79"/>
      <c r="E1204" s="87"/>
      <c r="F1204" s="80">
        <f t="shared" si="36"/>
        <v>0</v>
      </c>
      <c r="G1204" s="80">
        <f t="shared" si="37"/>
        <v>0</v>
      </c>
      <c r="H1204" s="81"/>
      <c r="I1204" s="81"/>
      <c r="J1204" s="82"/>
    </row>
    <row r="1205" spans="1:10" hidden="1" outlineLevel="3" x14ac:dyDescent="0.35">
      <c r="A1205" s="78">
        <v>5</v>
      </c>
      <c r="B1205" s="78" t="s">
        <v>385</v>
      </c>
      <c r="C1205" s="78" t="s">
        <v>1424</v>
      </c>
      <c r="D1205" s="79"/>
      <c r="E1205" s="87"/>
      <c r="F1205" s="80">
        <f t="shared" si="36"/>
        <v>0</v>
      </c>
      <c r="G1205" s="80">
        <f t="shared" si="37"/>
        <v>0</v>
      </c>
      <c r="H1205" s="81"/>
      <c r="I1205" s="81"/>
      <c r="J1205" s="82"/>
    </row>
    <row r="1206" spans="1:10" hidden="1" outlineLevel="3" x14ac:dyDescent="0.35">
      <c r="A1206" s="78">
        <v>5</v>
      </c>
      <c r="B1206" s="78" t="s">
        <v>385</v>
      </c>
      <c r="C1206" s="78" t="s">
        <v>1425</v>
      </c>
      <c r="D1206" s="79"/>
      <c r="E1206" s="87"/>
      <c r="F1206" s="80">
        <f t="shared" si="36"/>
        <v>0</v>
      </c>
      <c r="G1206" s="80">
        <f t="shared" si="37"/>
        <v>0</v>
      </c>
      <c r="H1206" s="81"/>
      <c r="I1206" s="81"/>
      <c r="J1206" s="82"/>
    </row>
    <row r="1207" spans="1:10" hidden="1" outlineLevel="3" x14ac:dyDescent="0.35">
      <c r="A1207" s="78">
        <v>5</v>
      </c>
      <c r="B1207" s="78" t="s">
        <v>385</v>
      </c>
      <c r="C1207" s="78" t="s">
        <v>1426</v>
      </c>
      <c r="D1207" s="79"/>
      <c r="E1207" s="87"/>
      <c r="F1207" s="80">
        <f t="shared" si="36"/>
        <v>0</v>
      </c>
      <c r="G1207" s="80">
        <f t="shared" si="37"/>
        <v>0</v>
      </c>
      <c r="H1207" s="81"/>
      <c r="I1207" s="81"/>
      <c r="J1207" s="82"/>
    </row>
    <row r="1208" spans="1:10" hidden="1" outlineLevel="3" x14ac:dyDescent="0.35">
      <c r="A1208" s="78">
        <v>5</v>
      </c>
      <c r="B1208" s="78" t="s">
        <v>385</v>
      </c>
      <c r="C1208" s="78" t="s">
        <v>1427</v>
      </c>
      <c r="D1208" s="79"/>
      <c r="E1208" s="87"/>
      <c r="F1208" s="80">
        <f t="shared" si="36"/>
        <v>0</v>
      </c>
      <c r="G1208" s="80">
        <f t="shared" si="37"/>
        <v>0</v>
      </c>
      <c r="H1208" s="81"/>
      <c r="I1208" s="81"/>
      <c r="J1208" s="82"/>
    </row>
    <row r="1209" spans="1:10" hidden="1" outlineLevel="3" x14ac:dyDescent="0.35">
      <c r="A1209" s="78">
        <v>5</v>
      </c>
      <c r="B1209" s="78" t="s">
        <v>385</v>
      </c>
      <c r="C1209" s="78" t="s">
        <v>1428</v>
      </c>
      <c r="D1209" s="79"/>
      <c r="E1209" s="87"/>
      <c r="F1209" s="80">
        <f t="shared" si="36"/>
        <v>0</v>
      </c>
      <c r="G1209" s="80">
        <f t="shared" si="37"/>
        <v>0</v>
      </c>
      <c r="H1209" s="81"/>
      <c r="I1209" s="81"/>
      <c r="J1209" s="82"/>
    </row>
    <row r="1210" spans="1:10" hidden="1" outlineLevel="3" x14ac:dyDescent="0.35">
      <c r="A1210" s="78">
        <v>5</v>
      </c>
      <c r="B1210" s="78" t="s">
        <v>385</v>
      </c>
      <c r="C1210" s="78" t="s">
        <v>1429</v>
      </c>
      <c r="D1210" s="79"/>
      <c r="E1210" s="87"/>
      <c r="F1210" s="80">
        <f t="shared" si="36"/>
        <v>0</v>
      </c>
      <c r="G1210" s="80">
        <f t="shared" si="37"/>
        <v>0</v>
      </c>
      <c r="H1210" s="81"/>
      <c r="I1210" s="81"/>
      <c r="J1210" s="82"/>
    </row>
    <row r="1211" spans="1:10" outlineLevel="1" collapsed="1" x14ac:dyDescent="0.35">
      <c r="A1211" s="67">
        <v>3</v>
      </c>
      <c r="B1211" s="67" t="s">
        <v>298</v>
      </c>
      <c r="C1211" s="67" t="s">
        <v>1502</v>
      </c>
      <c r="D1211" s="73" t="s">
        <v>1366</v>
      </c>
      <c r="E1211" s="85" t="str">
        <f>IFERROR(AVERAGE(E1212,E1228,E1237,E1246,E1255,E1264),"")</f>
        <v/>
      </c>
      <c r="F1211" s="67">
        <f t="shared" si="36"/>
        <v>0</v>
      </c>
      <c r="G1211" s="67">
        <f t="shared" si="37"/>
        <v>0</v>
      </c>
      <c r="H1211" s="72">
        <f>MIN(H1212,H1228,H1237,H1246,H1255,H1264)</f>
        <v>0</v>
      </c>
      <c r="I1211" s="72">
        <f>MAX(I1212,I1228,I1237,I1246,I1255,I1264)</f>
        <v>0</v>
      </c>
      <c r="J1211" s="71"/>
    </row>
    <row r="1212" spans="1:10" hidden="1" outlineLevel="2" collapsed="1" x14ac:dyDescent="0.35">
      <c r="A1212" s="74">
        <v>4</v>
      </c>
      <c r="B1212" s="74" t="s">
        <v>392</v>
      </c>
      <c r="C1212" s="74" t="s">
        <v>1503</v>
      </c>
      <c r="D1212" s="75" t="s">
        <v>394</v>
      </c>
      <c r="E1212" s="86" t="str">
        <f>IFERROR(SUBTOTAL(1,E1213:E1227),"")</f>
        <v/>
      </c>
      <c r="F1212" s="74">
        <f t="shared" si="36"/>
        <v>0</v>
      </c>
      <c r="G1212" s="74">
        <f t="shared" si="37"/>
        <v>0</v>
      </c>
      <c r="H1212" s="76">
        <f>MIN(H1213:H1227)</f>
        <v>0</v>
      </c>
      <c r="I1212" s="76">
        <f>MAX(I1213:I1227)</f>
        <v>0</v>
      </c>
      <c r="J1212" s="77"/>
    </row>
    <row r="1213" spans="1:10" hidden="1" outlineLevel="3" x14ac:dyDescent="0.35">
      <c r="A1213" s="78">
        <v>5</v>
      </c>
      <c r="B1213" s="78" t="s">
        <v>385</v>
      </c>
      <c r="C1213" s="78" t="s">
        <v>1504</v>
      </c>
      <c r="D1213" s="79" t="s">
        <v>345</v>
      </c>
      <c r="E1213" s="87"/>
      <c r="F1213" s="80">
        <f t="shared" si="36"/>
        <v>0</v>
      </c>
      <c r="G1213" s="80">
        <f t="shared" si="37"/>
        <v>0</v>
      </c>
      <c r="H1213" s="81"/>
      <c r="I1213" s="81"/>
      <c r="J1213" s="82"/>
    </row>
    <row r="1214" spans="1:10" hidden="1" outlineLevel="3" x14ac:dyDescent="0.35">
      <c r="A1214" s="78">
        <v>5</v>
      </c>
      <c r="B1214" s="78" t="s">
        <v>385</v>
      </c>
      <c r="C1214" s="78" t="s">
        <v>1505</v>
      </c>
      <c r="D1214" s="79" t="s">
        <v>369</v>
      </c>
      <c r="E1214" s="87"/>
      <c r="F1214" s="80">
        <f t="shared" si="36"/>
        <v>0</v>
      </c>
      <c r="G1214" s="80">
        <f t="shared" si="37"/>
        <v>0</v>
      </c>
      <c r="H1214" s="81"/>
      <c r="I1214" s="81"/>
      <c r="J1214" s="82"/>
    </row>
    <row r="1215" spans="1:10" hidden="1" outlineLevel="3" x14ac:dyDescent="0.35">
      <c r="A1215" s="78">
        <v>5</v>
      </c>
      <c r="B1215" s="78" t="s">
        <v>385</v>
      </c>
      <c r="C1215" s="78" t="s">
        <v>1506</v>
      </c>
      <c r="D1215" s="79" t="s">
        <v>334</v>
      </c>
      <c r="E1215" s="87"/>
      <c r="F1215" s="80">
        <f t="shared" si="36"/>
        <v>0</v>
      </c>
      <c r="G1215" s="80">
        <f t="shared" si="37"/>
        <v>0</v>
      </c>
      <c r="H1215" s="81"/>
      <c r="I1215" s="81"/>
      <c r="J1215" s="82"/>
    </row>
    <row r="1216" spans="1:10" hidden="1" outlineLevel="3" x14ac:dyDescent="0.35">
      <c r="A1216" s="78">
        <v>5</v>
      </c>
      <c r="B1216" s="78" t="s">
        <v>385</v>
      </c>
      <c r="C1216" s="78" t="s">
        <v>1507</v>
      </c>
      <c r="D1216" s="79" t="s">
        <v>59</v>
      </c>
      <c r="E1216" s="87"/>
      <c r="F1216" s="80">
        <f t="shared" si="36"/>
        <v>0</v>
      </c>
      <c r="G1216" s="80">
        <f t="shared" si="37"/>
        <v>0</v>
      </c>
      <c r="H1216" s="81"/>
      <c r="I1216" s="81"/>
      <c r="J1216" s="82"/>
    </row>
    <row r="1217" spans="1:10" hidden="1" outlineLevel="3" x14ac:dyDescent="0.35">
      <c r="A1217" s="78">
        <v>5</v>
      </c>
      <c r="B1217" s="78" t="s">
        <v>385</v>
      </c>
      <c r="C1217" s="78" t="s">
        <v>1508</v>
      </c>
      <c r="D1217" s="79" t="s">
        <v>347</v>
      </c>
      <c r="E1217" s="87"/>
      <c r="F1217" s="80">
        <f t="shared" si="36"/>
        <v>0</v>
      </c>
      <c r="G1217" s="80">
        <f t="shared" si="37"/>
        <v>0</v>
      </c>
      <c r="H1217" s="81"/>
      <c r="I1217" s="81"/>
      <c r="J1217" s="82"/>
    </row>
    <row r="1218" spans="1:10" hidden="1" outlineLevel="3" x14ac:dyDescent="0.35">
      <c r="A1218" s="78">
        <v>5</v>
      </c>
      <c r="B1218" s="78" t="s">
        <v>385</v>
      </c>
      <c r="C1218" s="78" t="s">
        <v>1509</v>
      </c>
      <c r="D1218" s="79" t="s">
        <v>349</v>
      </c>
      <c r="E1218" s="87"/>
      <c r="F1218" s="80">
        <f t="shared" si="36"/>
        <v>0</v>
      </c>
      <c r="G1218" s="80">
        <f t="shared" si="37"/>
        <v>0</v>
      </c>
      <c r="H1218" s="81"/>
      <c r="I1218" s="81"/>
      <c r="J1218" s="82"/>
    </row>
    <row r="1219" spans="1:10" hidden="1" outlineLevel="3" x14ac:dyDescent="0.35">
      <c r="A1219" s="78">
        <v>5</v>
      </c>
      <c r="B1219" s="78" t="s">
        <v>385</v>
      </c>
      <c r="C1219" s="78" t="s">
        <v>1510</v>
      </c>
      <c r="D1219" s="79" t="s">
        <v>352</v>
      </c>
      <c r="E1219" s="87"/>
      <c r="F1219" s="80">
        <f t="shared" si="36"/>
        <v>0</v>
      </c>
      <c r="G1219" s="80">
        <f t="shared" si="37"/>
        <v>0</v>
      </c>
      <c r="H1219" s="81"/>
      <c r="I1219" s="81"/>
      <c r="J1219" s="82"/>
    </row>
    <row r="1220" spans="1:10" hidden="1" outlineLevel="3" x14ac:dyDescent="0.35">
      <c r="A1220" s="78">
        <v>5</v>
      </c>
      <c r="B1220" s="78" t="s">
        <v>385</v>
      </c>
      <c r="C1220" s="78" t="s">
        <v>1511</v>
      </c>
      <c r="D1220" s="79" t="s">
        <v>332</v>
      </c>
      <c r="E1220" s="87"/>
      <c r="F1220" s="80">
        <f t="shared" si="36"/>
        <v>0</v>
      </c>
      <c r="G1220" s="80">
        <f t="shared" si="37"/>
        <v>0</v>
      </c>
      <c r="H1220" s="81"/>
      <c r="I1220" s="81"/>
      <c r="J1220" s="82"/>
    </row>
    <row r="1221" spans="1:10" hidden="1" outlineLevel="3" x14ac:dyDescent="0.35">
      <c r="A1221" s="78">
        <v>5</v>
      </c>
      <c r="B1221" s="78" t="s">
        <v>385</v>
      </c>
      <c r="C1221" s="78" t="s">
        <v>1678</v>
      </c>
      <c r="D1221" s="79" t="s">
        <v>334</v>
      </c>
      <c r="E1221" s="87"/>
      <c r="F1221" s="80">
        <f t="shared" si="36"/>
        <v>0</v>
      </c>
      <c r="G1221" s="80">
        <f t="shared" si="37"/>
        <v>0</v>
      </c>
      <c r="H1221" s="81"/>
      <c r="I1221" s="81"/>
      <c r="J1221" s="82"/>
    </row>
    <row r="1222" spans="1:10" hidden="1" outlineLevel="3" x14ac:dyDescent="0.35">
      <c r="A1222" s="78">
        <v>5</v>
      </c>
      <c r="B1222" s="78" t="s">
        <v>385</v>
      </c>
      <c r="C1222" s="78" t="s">
        <v>1679</v>
      </c>
      <c r="D1222" s="79" t="s">
        <v>350</v>
      </c>
      <c r="E1222" s="87"/>
      <c r="F1222" s="80">
        <f t="shared" ref="F1222:F1272" si="38">IFERROR(DATEDIF(H1222,I1222,"D"),0)</f>
        <v>0</v>
      </c>
      <c r="G1222" s="80">
        <f t="shared" ref="G1222:G1272" si="39">IFERROR(NETWORKDAYS.INTL(H1222,I1222),0)</f>
        <v>0</v>
      </c>
      <c r="H1222" s="81"/>
      <c r="I1222" s="81"/>
      <c r="J1222" s="82"/>
    </row>
    <row r="1223" spans="1:10" hidden="1" outlineLevel="3" x14ac:dyDescent="0.35">
      <c r="A1223" s="78">
        <v>5</v>
      </c>
      <c r="B1223" s="78" t="s">
        <v>385</v>
      </c>
      <c r="C1223" s="78" t="s">
        <v>1680</v>
      </c>
      <c r="D1223" s="79" t="s">
        <v>353</v>
      </c>
      <c r="E1223" s="87"/>
      <c r="F1223" s="80">
        <f t="shared" si="38"/>
        <v>0</v>
      </c>
      <c r="G1223" s="80">
        <f t="shared" si="39"/>
        <v>0</v>
      </c>
      <c r="H1223" s="81"/>
      <c r="I1223" s="81"/>
      <c r="J1223" s="82"/>
    </row>
    <row r="1224" spans="1:10" hidden="1" outlineLevel="3" x14ac:dyDescent="0.35">
      <c r="A1224" s="78">
        <v>5</v>
      </c>
      <c r="B1224" s="78" t="s">
        <v>385</v>
      </c>
      <c r="C1224" s="78" t="s">
        <v>1681</v>
      </c>
      <c r="D1224" s="79" t="s">
        <v>354</v>
      </c>
      <c r="E1224" s="87"/>
      <c r="F1224" s="80">
        <f t="shared" si="38"/>
        <v>0</v>
      </c>
      <c r="G1224" s="80">
        <f t="shared" si="39"/>
        <v>0</v>
      </c>
      <c r="H1224" s="81"/>
      <c r="I1224" s="81"/>
      <c r="J1224" s="82"/>
    </row>
    <row r="1225" spans="1:10" hidden="1" outlineLevel="3" x14ac:dyDescent="0.35">
      <c r="A1225" s="78">
        <v>5</v>
      </c>
      <c r="B1225" s="78" t="s">
        <v>385</v>
      </c>
      <c r="C1225" s="78" t="s">
        <v>1682</v>
      </c>
      <c r="D1225" s="79" t="s">
        <v>341</v>
      </c>
      <c r="E1225" s="87"/>
      <c r="F1225" s="80">
        <f t="shared" si="38"/>
        <v>0</v>
      </c>
      <c r="G1225" s="80">
        <f t="shared" si="39"/>
        <v>0</v>
      </c>
      <c r="H1225" s="81"/>
      <c r="I1225" s="81"/>
      <c r="J1225" s="82"/>
    </row>
    <row r="1226" spans="1:10" hidden="1" outlineLevel="3" x14ac:dyDescent="0.35">
      <c r="A1226" s="78">
        <v>5</v>
      </c>
      <c r="B1226" s="78" t="s">
        <v>385</v>
      </c>
      <c r="C1226" s="78" t="s">
        <v>1683</v>
      </c>
      <c r="D1226" s="79" t="s">
        <v>64</v>
      </c>
      <c r="E1226" s="87"/>
      <c r="F1226" s="80">
        <f t="shared" si="38"/>
        <v>0</v>
      </c>
      <c r="G1226" s="80">
        <f t="shared" si="39"/>
        <v>0</v>
      </c>
      <c r="H1226" s="81"/>
      <c r="I1226" s="81"/>
      <c r="J1226" s="82"/>
    </row>
    <row r="1227" spans="1:10" hidden="1" outlineLevel="3" x14ac:dyDescent="0.35">
      <c r="A1227" s="78">
        <v>5</v>
      </c>
      <c r="B1227" s="78" t="s">
        <v>385</v>
      </c>
      <c r="C1227" s="78" t="s">
        <v>1684</v>
      </c>
      <c r="D1227" s="79" t="s">
        <v>66</v>
      </c>
      <c r="E1227" s="87"/>
      <c r="F1227" s="80">
        <f t="shared" si="38"/>
        <v>0</v>
      </c>
      <c r="G1227" s="80">
        <f t="shared" si="39"/>
        <v>0</v>
      </c>
      <c r="H1227" s="81"/>
      <c r="I1227" s="81"/>
      <c r="J1227" s="82"/>
    </row>
    <row r="1228" spans="1:10" hidden="1" outlineLevel="2" collapsed="1" x14ac:dyDescent="0.35">
      <c r="A1228" s="74">
        <v>4</v>
      </c>
      <c r="B1228" s="74" t="s">
        <v>392</v>
      </c>
      <c r="C1228" s="74" t="s">
        <v>1512</v>
      </c>
      <c r="D1228" s="75" t="s">
        <v>404</v>
      </c>
      <c r="E1228" s="86" t="str">
        <f>IFERROR(SUBTOTAL(1,E1229:E1236),"")</f>
        <v/>
      </c>
      <c r="F1228" s="74">
        <f t="shared" si="38"/>
        <v>0</v>
      </c>
      <c r="G1228" s="74">
        <f t="shared" si="39"/>
        <v>0</v>
      </c>
      <c r="H1228" s="76">
        <f>MIN(H1229:H1236)</f>
        <v>0</v>
      </c>
      <c r="I1228" s="76">
        <f>MAX(I1229:I1236)</f>
        <v>0</v>
      </c>
      <c r="J1228" s="77"/>
    </row>
    <row r="1229" spans="1:10" hidden="1" outlineLevel="3" x14ac:dyDescent="0.35">
      <c r="A1229" s="78">
        <v>5</v>
      </c>
      <c r="B1229" s="78" t="s">
        <v>385</v>
      </c>
      <c r="C1229" s="78" t="s">
        <v>1513</v>
      </c>
      <c r="D1229" s="79" t="s">
        <v>346</v>
      </c>
      <c r="E1229" s="87"/>
      <c r="F1229" s="80">
        <f t="shared" si="38"/>
        <v>0</v>
      </c>
      <c r="G1229" s="80">
        <f t="shared" si="39"/>
        <v>0</v>
      </c>
      <c r="H1229" s="81"/>
      <c r="I1229" s="81"/>
      <c r="J1229" s="82"/>
    </row>
    <row r="1230" spans="1:10" hidden="1" outlineLevel="3" x14ac:dyDescent="0.35">
      <c r="A1230" s="78">
        <v>5</v>
      </c>
      <c r="B1230" s="78" t="s">
        <v>385</v>
      </c>
      <c r="C1230" s="78" t="s">
        <v>1514</v>
      </c>
      <c r="D1230" s="79" t="s">
        <v>336</v>
      </c>
      <c r="E1230" s="87"/>
      <c r="F1230" s="80">
        <f t="shared" si="38"/>
        <v>0</v>
      </c>
      <c r="G1230" s="80">
        <f t="shared" si="39"/>
        <v>0</v>
      </c>
      <c r="H1230" s="81"/>
      <c r="I1230" s="81"/>
      <c r="J1230" s="82"/>
    </row>
    <row r="1231" spans="1:10" hidden="1" outlineLevel="3" x14ac:dyDescent="0.35">
      <c r="A1231" s="78">
        <v>5</v>
      </c>
      <c r="B1231" s="78" t="s">
        <v>385</v>
      </c>
      <c r="C1231" s="78" t="s">
        <v>1515</v>
      </c>
      <c r="D1231" s="79" t="s">
        <v>333</v>
      </c>
      <c r="E1231" s="87"/>
      <c r="F1231" s="80">
        <f t="shared" si="38"/>
        <v>0</v>
      </c>
      <c r="G1231" s="80">
        <f t="shared" si="39"/>
        <v>0</v>
      </c>
      <c r="H1231" s="81"/>
      <c r="I1231" s="81"/>
      <c r="J1231" s="82"/>
    </row>
    <row r="1232" spans="1:10" hidden="1" outlineLevel="3" x14ac:dyDescent="0.35">
      <c r="A1232" s="78">
        <v>5</v>
      </c>
      <c r="B1232" s="78" t="s">
        <v>385</v>
      </c>
      <c r="C1232" s="78" t="s">
        <v>1516</v>
      </c>
      <c r="D1232" s="79" t="s">
        <v>336</v>
      </c>
      <c r="E1232" s="87"/>
      <c r="F1232" s="80">
        <f t="shared" si="38"/>
        <v>0</v>
      </c>
      <c r="G1232" s="80">
        <f t="shared" si="39"/>
        <v>0</v>
      </c>
      <c r="H1232" s="81"/>
      <c r="I1232" s="81"/>
      <c r="J1232" s="82"/>
    </row>
    <row r="1233" spans="1:10" hidden="1" outlineLevel="3" x14ac:dyDescent="0.35">
      <c r="A1233" s="78">
        <v>5</v>
      </c>
      <c r="B1233" s="78" t="s">
        <v>385</v>
      </c>
      <c r="C1233" s="78" t="s">
        <v>1517</v>
      </c>
      <c r="D1233" s="79" t="s">
        <v>351</v>
      </c>
      <c r="E1233" s="87"/>
      <c r="F1233" s="80">
        <f t="shared" si="38"/>
        <v>0</v>
      </c>
      <c r="G1233" s="80">
        <f t="shared" si="39"/>
        <v>0</v>
      </c>
      <c r="H1233" s="81"/>
      <c r="I1233" s="81"/>
      <c r="J1233" s="82"/>
    </row>
    <row r="1234" spans="1:10" hidden="1" outlineLevel="3" x14ac:dyDescent="0.35">
      <c r="A1234" s="78">
        <v>5</v>
      </c>
      <c r="B1234" s="78" t="s">
        <v>385</v>
      </c>
      <c r="C1234" s="78" t="s">
        <v>1518</v>
      </c>
      <c r="D1234" s="79" t="s">
        <v>65</v>
      </c>
      <c r="E1234" s="87"/>
      <c r="F1234" s="80">
        <f t="shared" si="38"/>
        <v>0</v>
      </c>
      <c r="G1234" s="80">
        <f t="shared" si="39"/>
        <v>0</v>
      </c>
      <c r="H1234" s="81"/>
      <c r="I1234" s="81"/>
      <c r="J1234" s="82"/>
    </row>
    <row r="1235" spans="1:10" hidden="1" outlineLevel="3" x14ac:dyDescent="0.35">
      <c r="A1235" s="78">
        <v>5</v>
      </c>
      <c r="B1235" s="78" t="s">
        <v>385</v>
      </c>
      <c r="C1235" s="78" t="s">
        <v>1519</v>
      </c>
      <c r="D1235" s="79"/>
      <c r="E1235" s="87"/>
      <c r="F1235" s="80">
        <f t="shared" si="38"/>
        <v>0</v>
      </c>
      <c r="G1235" s="80">
        <f t="shared" si="39"/>
        <v>0</v>
      </c>
      <c r="H1235" s="81"/>
      <c r="I1235" s="81"/>
      <c r="J1235" s="82"/>
    </row>
    <row r="1236" spans="1:10" hidden="1" outlineLevel="3" x14ac:dyDescent="0.35">
      <c r="A1236" s="78">
        <v>5</v>
      </c>
      <c r="B1236" s="78" t="s">
        <v>385</v>
      </c>
      <c r="C1236" s="78" t="s">
        <v>1520</v>
      </c>
      <c r="D1236" s="79"/>
      <c r="E1236" s="87"/>
      <c r="F1236" s="80">
        <f t="shared" si="38"/>
        <v>0</v>
      </c>
      <c r="G1236" s="80">
        <f t="shared" si="39"/>
        <v>0</v>
      </c>
      <c r="H1236" s="81"/>
      <c r="I1236" s="81"/>
      <c r="J1236" s="82"/>
    </row>
    <row r="1237" spans="1:10" hidden="1" outlineLevel="2" collapsed="1" x14ac:dyDescent="0.35">
      <c r="A1237" s="74">
        <v>4</v>
      </c>
      <c r="B1237" s="74" t="s">
        <v>392</v>
      </c>
      <c r="C1237" s="74" t="s">
        <v>1521</v>
      </c>
      <c r="D1237" s="75" t="s">
        <v>414</v>
      </c>
      <c r="E1237" s="86" t="str">
        <f>IFERROR(SUBTOTAL(1,E1238:E1245),"")</f>
        <v/>
      </c>
      <c r="F1237" s="74">
        <f t="shared" si="38"/>
        <v>0</v>
      </c>
      <c r="G1237" s="74">
        <f t="shared" si="39"/>
        <v>0</v>
      </c>
      <c r="H1237" s="76">
        <f>MIN(H1238:H1245)</f>
        <v>0</v>
      </c>
      <c r="I1237" s="76">
        <f>MAX(I1238:I1245)</f>
        <v>0</v>
      </c>
      <c r="J1237" s="77"/>
    </row>
    <row r="1238" spans="1:10" hidden="1" outlineLevel="3" x14ac:dyDescent="0.35">
      <c r="A1238" s="78">
        <v>5</v>
      </c>
      <c r="B1238" s="78" t="s">
        <v>385</v>
      </c>
      <c r="C1238" s="78" t="s">
        <v>1522</v>
      </c>
      <c r="D1238" s="79" t="s">
        <v>335</v>
      </c>
      <c r="E1238" s="87"/>
      <c r="F1238" s="80">
        <f t="shared" si="38"/>
        <v>0</v>
      </c>
      <c r="G1238" s="80">
        <f t="shared" si="39"/>
        <v>0</v>
      </c>
      <c r="H1238" s="81"/>
      <c r="I1238" s="81"/>
      <c r="J1238" s="82"/>
    </row>
    <row r="1239" spans="1:10" hidden="1" outlineLevel="3" x14ac:dyDescent="0.35">
      <c r="A1239" s="78">
        <v>5</v>
      </c>
      <c r="B1239" s="78" t="s">
        <v>385</v>
      </c>
      <c r="C1239" s="78" t="s">
        <v>1523</v>
      </c>
      <c r="D1239" s="79" t="s">
        <v>348</v>
      </c>
      <c r="E1239" s="87"/>
      <c r="F1239" s="80">
        <f t="shared" si="38"/>
        <v>0</v>
      </c>
      <c r="G1239" s="80">
        <f t="shared" si="39"/>
        <v>0</v>
      </c>
      <c r="H1239" s="81"/>
      <c r="I1239" s="81"/>
      <c r="J1239" s="82"/>
    </row>
    <row r="1240" spans="1:10" hidden="1" outlineLevel="3" x14ac:dyDescent="0.35">
      <c r="A1240" s="78">
        <v>5</v>
      </c>
      <c r="B1240" s="78" t="s">
        <v>385</v>
      </c>
      <c r="C1240" s="78" t="s">
        <v>1524</v>
      </c>
      <c r="D1240" s="79" t="s">
        <v>60</v>
      </c>
      <c r="E1240" s="87"/>
      <c r="F1240" s="80">
        <f t="shared" si="38"/>
        <v>0</v>
      </c>
      <c r="G1240" s="80">
        <f t="shared" si="39"/>
        <v>0</v>
      </c>
      <c r="H1240" s="81"/>
      <c r="I1240" s="81"/>
      <c r="J1240" s="82"/>
    </row>
    <row r="1241" spans="1:10" hidden="1" outlineLevel="3" x14ac:dyDescent="0.35">
      <c r="A1241" s="78">
        <v>5</v>
      </c>
      <c r="B1241" s="78" t="s">
        <v>385</v>
      </c>
      <c r="C1241" s="78" t="s">
        <v>1525</v>
      </c>
      <c r="D1241" s="79" t="s">
        <v>335</v>
      </c>
      <c r="E1241" s="87"/>
      <c r="F1241" s="80">
        <f t="shared" si="38"/>
        <v>0</v>
      </c>
      <c r="G1241" s="80">
        <f t="shared" si="39"/>
        <v>0</v>
      </c>
      <c r="H1241" s="81"/>
      <c r="I1241" s="81"/>
      <c r="J1241" s="82"/>
    </row>
    <row r="1242" spans="1:10" hidden="1" outlineLevel="3" x14ac:dyDescent="0.35">
      <c r="A1242" s="78">
        <v>5</v>
      </c>
      <c r="B1242" s="78" t="s">
        <v>385</v>
      </c>
      <c r="C1242" s="78" t="s">
        <v>1526</v>
      </c>
      <c r="D1242" s="79" t="s">
        <v>67</v>
      </c>
      <c r="E1242" s="87"/>
      <c r="F1242" s="80">
        <f t="shared" si="38"/>
        <v>0</v>
      </c>
      <c r="G1242" s="80">
        <f t="shared" si="39"/>
        <v>0</v>
      </c>
      <c r="H1242" s="81"/>
      <c r="I1242" s="81"/>
      <c r="J1242" s="82"/>
    </row>
    <row r="1243" spans="1:10" hidden="1" outlineLevel="3" x14ac:dyDescent="0.35">
      <c r="A1243" s="78">
        <v>5</v>
      </c>
      <c r="B1243" s="78" t="s">
        <v>385</v>
      </c>
      <c r="C1243" s="78" t="s">
        <v>1527</v>
      </c>
      <c r="D1243" s="79"/>
      <c r="E1243" s="87"/>
      <c r="F1243" s="80">
        <f t="shared" si="38"/>
        <v>0</v>
      </c>
      <c r="G1243" s="80">
        <f t="shared" si="39"/>
        <v>0</v>
      </c>
      <c r="H1243" s="81"/>
      <c r="I1243" s="81"/>
      <c r="J1243" s="82"/>
    </row>
    <row r="1244" spans="1:10" hidden="1" outlineLevel="3" x14ac:dyDescent="0.35">
      <c r="A1244" s="78">
        <v>5</v>
      </c>
      <c r="B1244" s="78" t="s">
        <v>385</v>
      </c>
      <c r="C1244" s="78" t="s">
        <v>1528</v>
      </c>
      <c r="D1244" s="79"/>
      <c r="E1244" s="87"/>
      <c r="F1244" s="80">
        <f t="shared" si="38"/>
        <v>0</v>
      </c>
      <c r="G1244" s="80">
        <f t="shared" si="39"/>
        <v>0</v>
      </c>
      <c r="H1244" s="81"/>
      <c r="I1244" s="81"/>
      <c r="J1244" s="82"/>
    </row>
    <row r="1245" spans="1:10" hidden="1" outlineLevel="3" x14ac:dyDescent="0.35">
      <c r="A1245" s="78">
        <v>5</v>
      </c>
      <c r="B1245" s="78" t="s">
        <v>385</v>
      </c>
      <c r="C1245" s="78" t="s">
        <v>1529</v>
      </c>
      <c r="D1245" s="79"/>
      <c r="E1245" s="87"/>
      <c r="F1245" s="80">
        <f t="shared" si="38"/>
        <v>0</v>
      </c>
      <c r="G1245" s="80">
        <f t="shared" si="39"/>
        <v>0</v>
      </c>
      <c r="H1245" s="81"/>
      <c r="I1245" s="81"/>
      <c r="J1245" s="82"/>
    </row>
    <row r="1246" spans="1:10" hidden="1" outlineLevel="2" collapsed="1" x14ac:dyDescent="0.35">
      <c r="A1246" s="74">
        <v>4</v>
      </c>
      <c r="B1246" s="74" t="s">
        <v>392</v>
      </c>
      <c r="C1246" s="74" t="s">
        <v>1530</v>
      </c>
      <c r="D1246" s="75" t="s">
        <v>424</v>
      </c>
      <c r="E1246" s="86" t="str">
        <f>IFERROR(SUBTOTAL(1,E1247:E1254),"")</f>
        <v/>
      </c>
      <c r="F1246" s="74">
        <f t="shared" si="38"/>
        <v>0</v>
      </c>
      <c r="G1246" s="74">
        <f t="shared" si="39"/>
        <v>0</v>
      </c>
      <c r="H1246" s="76">
        <f>MIN(H1247:H1254)</f>
        <v>0</v>
      </c>
      <c r="I1246" s="76">
        <f>MAX(I1247:I1254)</f>
        <v>0</v>
      </c>
      <c r="J1246" s="77"/>
    </row>
    <row r="1247" spans="1:10" hidden="1" outlineLevel="3" x14ac:dyDescent="0.35">
      <c r="A1247" s="78">
        <v>5</v>
      </c>
      <c r="B1247" s="78" t="s">
        <v>385</v>
      </c>
      <c r="C1247" s="78" t="s">
        <v>1531</v>
      </c>
      <c r="D1247" s="79" t="s">
        <v>370</v>
      </c>
      <c r="E1247" s="87"/>
      <c r="F1247" s="80">
        <f t="shared" si="38"/>
        <v>0</v>
      </c>
      <c r="G1247" s="80">
        <f t="shared" si="39"/>
        <v>0</v>
      </c>
      <c r="H1247" s="81"/>
      <c r="I1247" s="81"/>
      <c r="J1247" s="82"/>
    </row>
    <row r="1248" spans="1:10" hidden="1" outlineLevel="3" x14ac:dyDescent="0.35">
      <c r="A1248" s="78">
        <v>5</v>
      </c>
      <c r="B1248" s="78" t="s">
        <v>385</v>
      </c>
      <c r="C1248" s="78" t="s">
        <v>1532</v>
      </c>
      <c r="D1248" s="79"/>
      <c r="E1248" s="87"/>
      <c r="F1248" s="80">
        <f t="shared" si="38"/>
        <v>0</v>
      </c>
      <c r="G1248" s="80">
        <f t="shared" si="39"/>
        <v>0</v>
      </c>
      <c r="H1248" s="81"/>
      <c r="I1248" s="81"/>
      <c r="J1248" s="82"/>
    </row>
    <row r="1249" spans="1:10" hidden="1" outlineLevel="3" x14ac:dyDescent="0.35">
      <c r="A1249" s="78">
        <v>5</v>
      </c>
      <c r="B1249" s="78" t="s">
        <v>385</v>
      </c>
      <c r="C1249" s="78" t="s">
        <v>1533</v>
      </c>
      <c r="D1249" s="79"/>
      <c r="E1249" s="87"/>
      <c r="F1249" s="80">
        <f t="shared" si="38"/>
        <v>0</v>
      </c>
      <c r="G1249" s="80">
        <f t="shared" si="39"/>
        <v>0</v>
      </c>
      <c r="H1249" s="81"/>
      <c r="I1249" s="81"/>
      <c r="J1249" s="82"/>
    </row>
    <row r="1250" spans="1:10" hidden="1" outlineLevel="3" x14ac:dyDescent="0.35">
      <c r="A1250" s="78">
        <v>5</v>
      </c>
      <c r="B1250" s="78" t="s">
        <v>385</v>
      </c>
      <c r="C1250" s="78" t="s">
        <v>1534</v>
      </c>
      <c r="D1250" s="79"/>
      <c r="E1250" s="87"/>
      <c r="F1250" s="80">
        <f t="shared" si="38"/>
        <v>0</v>
      </c>
      <c r="G1250" s="80">
        <f t="shared" si="39"/>
        <v>0</v>
      </c>
      <c r="H1250" s="81"/>
      <c r="I1250" s="81"/>
      <c r="J1250" s="82"/>
    </row>
    <row r="1251" spans="1:10" hidden="1" outlineLevel="3" x14ac:dyDescent="0.35">
      <c r="A1251" s="78">
        <v>5</v>
      </c>
      <c r="B1251" s="78" t="s">
        <v>385</v>
      </c>
      <c r="C1251" s="78" t="s">
        <v>1535</v>
      </c>
      <c r="D1251" s="79"/>
      <c r="E1251" s="87"/>
      <c r="F1251" s="80">
        <f t="shared" si="38"/>
        <v>0</v>
      </c>
      <c r="G1251" s="80">
        <f t="shared" si="39"/>
        <v>0</v>
      </c>
      <c r="H1251" s="81"/>
      <c r="I1251" s="81"/>
      <c r="J1251" s="82"/>
    </row>
    <row r="1252" spans="1:10" hidden="1" outlineLevel="3" x14ac:dyDescent="0.35">
      <c r="A1252" s="78">
        <v>5</v>
      </c>
      <c r="B1252" s="78" t="s">
        <v>385</v>
      </c>
      <c r="C1252" s="78" t="s">
        <v>1536</v>
      </c>
      <c r="D1252" s="79"/>
      <c r="E1252" s="87"/>
      <c r="F1252" s="80">
        <f t="shared" si="38"/>
        <v>0</v>
      </c>
      <c r="G1252" s="80">
        <f t="shared" si="39"/>
        <v>0</v>
      </c>
      <c r="H1252" s="81"/>
      <c r="I1252" s="81"/>
      <c r="J1252" s="82"/>
    </row>
    <row r="1253" spans="1:10" hidden="1" outlineLevel="3" x14ac:dyDescent="0.35">
      <c r="A1253" s="78">
        <v>5</v>
      </c>
      <c r="B1253" s="78" t="s">
        <v>385</v>
      </c>
      <c r="C1253" s="78" t="s">
        <v>1537</v>
      </c>
      <c r="D1253" s="79"/>
      <c r="E1253" s="87"/>
      <c r="F1253" s="80">
        <f t="shared" si="38"/>
        <v>0</v>
      </c>
      <c r="G1253" s="80">
        <f t="shared" si="39"/>
        <v>0</v>
      </c>
      <c r="H1253" s="81"/>
      <c r="I1253" s="81"/>
      <c r="J1253" s="82"/>
    </row>
    <row r="1254" spans="1:10" hidden="1" outlineLevel="3" x14ac:dyDescent="0.35">
      <c r="A1254" s="78">
        <v>5</v>
      </c>
      <c r="B1254" s="78" t="s">
        <v>385</v>
      </c>
      <c r="C1254" s="78" t="s">
        <v>1538</v>
      </c>
      <c r="D1254" s="79"/>
      <c r="E1254" s="87"/>
      <c r="F1254" s="80">
        <f t="shared" si="38"/>
        <v>0</v>
      </c>
      <c r="G1254" s="80">
        <f t="shared" si="39"/>
        <v>0</v>
      </c>
      <c r="H1254" s="81"/>
      <c r="I1254" s="81"/>
      <c r="J1254" s="82"/>
    </row>
    <row r="1255" spans="1:10" hidden="1" outlineLevel="2" collapsed="1" x14ac:dyDescent="0.35">
      <c r="A1255" s="74">
        <v>4</v>
      </c>
      <c r="B1255" s="74" t="s">
        <v>392</v>
      </c>
      <c r="C1255" s="74" t="s">
        <v>1539</v>
      </c>
      <c r="D1255" s="75" t="s">
        <v>434</v>
      </c>
      <c r="E1255" s="86" t="str">
        <f>IFERROR(SUBTOTAL(1,E1256:E1263),"")</f>
        <v/>
      </c>
      <c r="F1255" s="74">
        <f t="shared" si="38"/>
        <v>0</v>
      </c>
      <c r="G1255" s="74">
        <f t="shared" si="39"/>
        <v>0</v>
      </c>
      <c r="H1255" s="76">
        <f>MIN(H1256:H1263)</f>
        <v>0</v>
      </c>
      <c r="I1255" s="76">
        <f>MAX(I1256:I1263)</f>
        <v>0</v>
      </c>
      <c r="J1255" s="77"/>
    </row>
    <row r="1256" spans="1:10" hidden="1" outlineLevel="3" x14ac:dyDescent="0.35">
      <c r="A1256" s="78">
        <v>5</v>
      </c>
      <c r="B1256" s="78" t="s">
        <v>385</v>
      </c>
      <c r="C1256" s="78" t="s">
        <v>1540</v>
      </c>
      <c r="D1256" s="79" t="s">
        <v>61</v>
      </c>
      <c r="E1256" s="87"/>
      <c r="F1256" s="80">
        <f t="shared" si="38"/>
        <v>0</v>
      </c>
      <c r="G1256" s="80">
        <f t="shared" si="39"/>
        <v>0</v>
      </c>
      <c r="H1256" s="81"/>
      <c r="I1256" s="81"/>
      <c r="J1256" s="82"/>
    </row>
    <row r="1257" spans="1:10" hidden="1" outlineLevel="3" x14ac:dyDescent="0.35">
      <c r="A1257" s="78">
        <v>5</v>
      </c>
      <c r="B1257" s="78" t="s">
        <v>385</v>
      </c>
      <c r="C1257" s="78" t="s">
        <v>1541</v>
      </c>
      <c r="D1257" s="79" t="s">
        <v>62</v>
      </c>
      <c r="E1257" s="87"/>
      <c r="F1257" s="80">
        <f t="shared" si="38"/>
        <v>0</v>
      </c>
      <c r="G1257" s="80">
        <f t="shared" si="39"/>
        <v>0</v>
      </c>
      <c r="H1257" s="81"/>
      <c r="I1257" s="81"/>
      <c r="J1257" s="82"/>
    </row>
    <row r="1258" spans="1:10" hidden="1" outlineLevel="3" x14ac:dyDescent="0.35">
      <c r="A1258" s="78">
        <v>5</v>
      </c>
      <c r="B1258" s="78" t="s">
        <v>385</v>
      </c>
      <c r="C1258" s="78" t="s">
        <v>1542</v>
      </c>
      <c r="D1258" s="79"/>
      <c r="E1258" s="87"/>
      <c r="F1258" s="80">
        <f t="shared" si="38"/>
        <v>0</v>
      </c>
      <c r="G1258" s="80">
        <f t="shared" si="39"/>
        <v>0</v>
      </c>
      <c r="H1258" s="81"/>
      <c r="I1258" s="81"/>
      <c r="J1258" s="82"/>
    </row>
    <row r="1259" spans="1:10" hidden="1" outlineLevel="3" x14ac:dyDescent="0.35">
      <c r="A1259" s="78">
        <v>5</v>
      </c>
      <c r="B1259" s="78" t="s">
        <v>385</v>
      </c>
      <c r="C1259" s="78" t="s">
        <v>1543</v>
      </c>
      <c r="D1259" s="79"/>
      <c r="E1259" s="87"/>
      <c r="F1259" s="80">
        <f t="shared" si="38"/>
        <v>0</v>
      </c>
      <c r="G1259" s="80">
        <f t="shared" si="39"/>
        <v>0</v>
      </c>
      <c r="H1259" s="81"/>
      <c r="I1259" s="81"/>
      <c r="J1259" s="82"/>
    </row>
    <row r="1260" spans="1:10" hidden="1" outlineLevel="3" x14ac:dyDescent="0.35">
      <c r="A1260" s="78">
        <v>5</v>
      </c>
      <c r="B1260" s="78" t="s">
        <v>385</v>
      </c>
      <c r="C1260" s="78" t="s">
        <v>1544</v>
      </c>
      <c r="D1260" s="79"/>
      <c r="E1260" s="87"/>
      <c r="F1260" s="80">
        <f t="shared" si="38"/>
        <v>0</v>
      </c>
      <c r="G1260" s="80">
        <f t="shared" si="39"/>
        <v>0</v>
      </c>
      <c r="H1260" s="81"/>
      <c r="I1260" s="81"/>
      <c r="J1260" s="82"/>
    </row>
    <row r="1261" spans="1:10" hidden="1" outlineLevel="3" x14ac:dyDescent="0.35">
      <c r="A1261" s="78">
        <v>5</v>
      </c>
      <c r="B1261" s="78" t="s">
        <v>385</v>
      </c>
      <c r="C1261" s="78" t="s">
        <v>1545</v>
      </c>
      <c r="D1261" s="79"/>
      <c r="E1261" s="87"/>
      <c r="F1261" s="80">
        <f t="shared" si="38"/>
        <v>0</v>
      </c>
      <c r="G1261" s="80">
        <f t="shared" si="39"/>
        <v>0</v>
      </c>
      <c r="H1261" s="81"/>
      <c r="I1261" s="81"/>
      <c r="J1261" s="82"/>
    </row>
    <row r="1262" spans="1:10" hidden="1" outlineLevel="3" x14ac:dyDescent="0.35">
      <c r="A1262" s="78">
        <v>5</v>
      </c>
      <c r="B1262" s="78" t="s">
        <v>385</v>
      </c>
      <c r="C1262" s="78" t="s">
        <v>1546</v>
      </c>
      <c r="D1262" s="79"/>
      <c r="E1262" s="87"/>
      <c r="F1262" s="80">
        <f t="shared" si="38"/>
        <v>0</v>
      </c>
      <c r="G1262" s="80">
        <f t="shared" si="39"/>
        <v>0</v>
      </c>
      <c r="H1262" s="81"/>
      <c r="I1262" s="81"/>
      <c r="J1262" s="82"/>
    </row>
    <row r="1263" spans="1:10" hidden="1" outlineLevel="3" x14ac:dyDescent="0.35">
      <c r="A1263" s="78">
        <v>5</v>
      </c>
      <c r="B1263" s="78" t="s">
        <v>385</v>
      </c>
      <c r="C1263" s="78" t="s">
        <v>1547</v>
      </c>
      <c r="D1263" s="79"/>
      <c r="E1263" s="87"/>
      <c r="F1263" s="80">
        <f t="shared" si="38"/>
        <v>0</v>
      </c>
      <c r="G1263" s="80">
        <f t="shared" si="39"/>
        <v>0</v>
      </c>
      <c r="H1263" s="81"/>
      <c r="I1263" s="81"/>
      <c r="J1263" s="82"/>
    </row>
    <row r="1264" spans="1:10" hidden="1" outlineLevel="2" collapsed="1" x14ac:dyDescent="0.35">
      <c r="A1264" s="74">
        <v>4</v>
      </c>
      <c r="B1264" s="74" t="s">
        <v>392</v>
      </c>
      <c r="C1264" s="74" t="s">
        <v>1548</v>
      </c>
      <c r="D1264" s="75" t="s">
        <v>444</v>
      </c>
      <c r="E1264" s="86" t="str">
        <f>IFERROR(SUBTOTAL(1,E1265:E1272),"")</f>
        <v/>
      </c>
      <c r="F1264" s="74">
        <f t="shared" si="38"/>
        <v>0</v>
      </c>
      <c r="G1264" s="74">
        <f t="shared" si="39"/>
        <v>0</v>
      </c>
      <c r="H1264" s="76">
        <f>MIN(H1265:H1272)</f>
        <v>0</v>
      </c>
      <c r="I1264" s="76">
        <f>MAX(I1265:I1272)</f>
        <v>0</v>
      </c>
      <c r="J1264" s="77"/>
    </row>
    <row r="1265" spans="1:10" hidden="1" outlineLevel="3" x14ac:dyDescent="0.35">
      <c r="A1265" s="78">
        <v>5</v>
      </c>
      <c r="B1265" s="78" t="s">
        <v>385</v>
      </c>
      <c r="C1265" s="78" t="s">
        <v>1549</v>
      </c>
      <c r="D1265" s="79"/>
      <c r="E1265" s="87"/>
      <c r="F1265" s="80">
        <f t="shared" si="38"/>
        <v>0</v>
      </c>
      <c r="G1265" s="80">
        <f t="shared" si="39"/>
        <v>0</v>
      </c>
      <c r="H1265" s="81"/>
      <c r="I1265" s="81"/>
      <c r="J1265" s="82"/>
    </row>
    <row r="1266" spans="1:10" hidden="1" outlineLevel="3" x14ac:dyDescent="0.35">
      <c r="A1266" s="78">
        <v>5</v>
      </c>
      <c r="B1266" s="78" t="s">
        <v>385</v>
      </c>
      <c r="C1266" s="78" t="s">
        <v>1550</v>
      </c>
      <c r="D1266" s="79"/>
      <c r="E1266" s="87"/>
      <c r="F1266" s="80">
        <f t="shared" si="38"/>
        <v>0</v>
      </c>
      <c r="G1266" s="80">
        <f t="shared" si="39"/>
        <v>0</v>
      </c>
      <c r="H1266" s="81"/>
      <c r="I1266" s="81"/>
      <c r="J1266" s="82"/>
    </row>
    <row r="1267" spans="1:10" hidden="1" outlineLevel="3" x14ac:dyDescent="0.35">
      <c r="A1267" s="78">
        <v>5</v>
      </c>
      <c r="B1267" s="78" t="s">
        <v>385</v>
      </c>
      <c r="C1267" s="78" t="s">
        <v>1551</v>
      </c>
      <c r="D1267" s="79"/>
      <c r="E1267" s="87"/>
      <c r="F1267" s="80">
        <f t="shared" si="38"/>
        <v>0</v>
      </c>
      <c r="G1267" s="80">
        <f t="shared" si="39"/>
        <v>0</v>
      </c>
      <c r="H1267" s="81"/>
      <c r="I1267" s="81"/>
      <c r="J1267" s="82"/>
    </row>
    <row r="1268" spans="1:10" hidden="1" outlineLevel="3" x14ac:dyDescent="0.35">
      <c r="A1268" s="78">
        <v>5</v>
      </c>
      <c r="B1268" s="78" t="s">
        <v>385</v>
      </c>
      <c r="C1268" s="78" t="s">
        <v>1552</v>
      </c>
      <c r="D1268" s="79"/>
      <c r="E1268" s="87"/>
      <c r="F1268" s="80">
        <f t="shared" si="38"/>
        <v>0</v>
      </c>
      <c r="G1268" s="80">
        <f t="shared" si="39"/>
        <v>0</v>
      </c>
      <c r="H1268" s="81"/>
      <c r="I1268" s="81"/>
      <c r="J1268" s="82"/>
    </row>
    <row r="1269" spans="1:10" hidden="1" outlineLevel="3" x14ac:dyDescent="0.35">
      <c r="A1269" s="78">
        <v>5</v>
      </c>
      <c r="B1269" s="78" t="s">
        <v>385</v>
      </c>
      <c r="C1269" s="78" t="s">
        <v>1553</v>
      </c>
      <c r="D1269" s="79"/>
      <c r="E1269" s="87"/>
      <c r="F1269" s="80">
        <f t="shared" si="38"/>
        <v>0</v>
      </c>
      <c r="G1269" s="80">
        <f t="shared" si="39"/>
        <v>0</v>
      </c>
      <c r="H1269" s="81"/>
      <c r="I1269" s="81"/>
      <c r="J1269" s="82"/>
    </row>
    <row r="1270" spans="1:10" hidden="1" outlineLevel="3" x14ac:dyDescent="0.35">
      <c r="A1270" s="78">
        <v>5</v>
      </c>
      <c r="B1270" s="78" t="s">
        <v>385</v>
      </c>
      <c r="C1270" s="78" t="s">
        <v>1554</v>
      </c>
      <c r="D1270" s="79"/>
      <c r="E1270" s="87"/>
      <c r="F1270" s="80">
        <f t="shared" si="38"/>
        <v>0</v>
      </c>
      <c r="G1270" s="80">
        <f t="shared" si="39"/>
        <v>0</v>
      </c>
      <c r="H1270" s="81"/>
      <c r="I1270" s="81"/>
      <c r="J1270" s="82"/>
    </row>
    <row r="1271" spans="1:10" hidden="1" outlineLevel="3" x14ac:dyDescent="0.35">
      <c r="A1271" s="78">
        <v>5</v>
      </c>
      <c r="B1271" s="78" t="s">
        <v>385</v>
      </c>
      <c r="C1271" s="78" t="s">
        <v>1555</v>
      </c>
      <c r="D1271" s="79"/>
      <c r="E1271" s="87"/>
      <c r="F1271" s="80">
        <f t="shared" si="38"/>
        <v>0</v>
      </c>
      <c r="G1271" s="80">
        <f t="shared" si="39"/>
        <v>0</v>
      </c>
      <c r="H1271" s="81"/>
      <c r="I1271" s="81"/>
      <c r="J1271" s="82"/>
    </row>
    <row r="1272" spans="1:10" hidden="1" outlineLevel="3" x14ac:dyDescent="0.35">
      <c r="A1272" s="78">
        <v>5</v>
      </c>
      <c r="B1272" s="78" t="s">
        <v>385</v>
      </c>
      <c r="C1272" s="78" t="s">
        <v>1556</v>
      </c>
      <c r="D1272" s="79"/>
      <c r="E1272" s="87"/>
      <c r="F1272" s="80">
        <f t="shared" si="38"/>
        <v>0</v>
      </c>
      <c r="G1272" s="80">
        <f t="shared" si="39"/>
        <v>0</v>
      </c>
      <c r="H1272" s="81"/>
      <c r="I1272" s="81"/>
      <c r="J1272" s="82"/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B4C7-0CA1-4CD3-A49B-016960FC4C83}">
  <dimension ref="B2:I101"/>
  <sheetViews>
    <sheetView showGridLines="0" zoomScale="85" zoomScaleNormal="85" workbookViewId="0">
      <selection activeCell="B1" sqref="B1"/>
    </sheetView>
  </sheetViews>
  <sheetFormatPr defaultColWidth="8.90625" defaultRowHeight="12.5" x14ac:dyDescent="0.35"/>
  <cols>
    <col min="1" max="1" width="3.1796875" style="13" customWidth="1"/>
    <col min="2" max="2" width="12.08984375" style="13" bestFit="1" customWidth="1"/>
    <col min="3" max="3" width="35.36328125" style="13" bestFit="1" customWidth="1"/>
    <col min="4" max="4" width="46.453125" style="13" bestFit="1" customWidth="1"/>
    <col min="5" max="5" width="8.90625" style="13"/>
    <col min="6" max="6" width="12.6328125" style="13" bestFit="1" customWidth="1"/>
    <col min="7" max="7" width="8.90625" style="13"/>
    <col min="8" max="8" width="69.90625" style="13" bestFit="1" customWidth="1"/>
    <col min="9" max="9" width="76" style="13" bestFit="1" customWidth="1"/>
    <col min="10" max="16384" width="8.90625" style="13"/>
  </cols>
  <sheetData>
    <row r="2" spans="2:9" s="31" customFormat="1" x14ac:dyDescent="0.35">
      <c r="B2" s="30" t="s">
        <v>297</v>
      </c>
      <c r="C2" s="40" t="s">
        <v>298</v>
      </c>
      <c r="D2" s="40" t="s">
        <v>300</v>
      </c>
      <c r="F2" s="32" t="s">
        <v>299</v>
      </c>
      <c r="G2" s="32" t="s">
        <v>92</v>
      </c>
      <c r="H2" s="32" t="s">
        <v>93</v>
      </c>
      <c r="I2" s="32" t="s">
        <v>94</v>
      </c>
    </row>
    <row r="3" spans="2:9" s="31" customFormat="1" x14ac:dyDescent="0.35">
      <c r="B3" s="33" t="s">
        <v>95</v>
      </c>
      <c r="C3" s="41" t="s">
        <v>95</v>
      </c>
      <c r="D3" s="41" t="s">
        <v>96</v>
      </c>
      <c r="F3" s="34" t="s">
        <v>301</v>
      </c>
      <c r="G3" s="34" t="s">
        <v>97</v>
      </c>
      <c r="H3" s="34" t="s">
        <v>95</v>
      </c>
      <c r="I3" s="34" t="str">
        <f t="shared" ref="I3:I34" si="0">_xlfn.CONCAT(G3," ",H3)</f>
        <v>21. Geral</v>
      </c>
    </row>
    <row r="4" spans="2:9" s="31" customFormat="1" x14ac:dyDescent="0.35">
      <c r="B4" s="33" t="s">
        <v>95</v>
      </c>
      <c r="C4" s="41" t="s">
        <v>95</v>
      </c>
      <c r="D4" s="41" t="s">
        <v>98</v>
      </c>
      <c r="F4" s="35" t="s">
        <v>303</v>
      </c>
      <c r="G4" s="35" t="s">
        <v>99</v>
      </c>
      <c r="H4" s="35" t="s">
        <v>95</v>
      </c>
      <c r="I4" s="35" t="str">
        <f t="shared" si="0"/>
        <v>2100. Geral</v>
      </c>
    </row>
    <row r="5" spans="2:9" s="31" customFormat="1" x14ac:dyDescent="0.35">
      <c r="B5" s="33" t="s">
        <v>95</v>
      </c>
      <c r="C5" s="41" t="s">
        <v>95</v>
      </c>
      <c r="D5" s="41" t="s">
        <v>49</v>
      </c>
      <c r="F5" s="36" t="s">
        <v>302</v>
      </c>
      <c r="G5" s="36" t="s">
        <v>100</v>
      </c>
      <c r="H5" s="36" t="s">
        <v>96</v>
      </c>
      <c r="I5" s="36" t="str">
        <f t="shared" si="0"/>
        <v>2100.A Pipe Rack</v>
      </c>
    </row>
    <row r="6" spans="2:9" s="31" customFormat="1" x14ac:dyDescent="0.35">
      <c r="B6" s="33" t="s">
        <v>95</v>
      </c>
      <c r="C6" s="41" t="s">
        <v>95</v>
      </c>
      <c r="D6" s="41" t="s">
        <v>5</v>
      </c>
      <c r="F6" s="36" t="s">
        <v>302</v>
      </c>
      <c r="G6" s="36" t="s">
        <v>101</v>
      </c>
      <c r="H6" s="36" t="s">
        <v>102</v>
      </c>
      <c r="I6" s="36" t="str">
        <f t="shared" si="0"/>
        <v>2100.B Terraplenagem (Camada Vegetal, Tratamento de Sub-Leito, Compactação de Aterro)</v>
      </c>
    </row>
    <row r="7" spans="2:9" s="31" customFormat="1" x14ac:dyDescent="0.35">
      <c r="B7" s="33" t="s">
        <v>95</v>
      </c>
      <c r="C7" s="41" t="s">
        <v>95</v>
      </c>
      <c r="D7" s="41" t="s">
        <v>305</v>
      </c>
      <c r="F7" s="36" t="s">
        <v>302</v>
      </c>
      <c r="G7" s="36" t="s">
        <v>105</v>
      </c>
      <c r="H7" s="36" t="s">
        <v>106</v>
      </c>
      <c r="I7" s="36" t="str">
        <f t="shared" si="0"/>
        <v>2100.C Drenagem (Boca de Lobo, Poço de Visita, Caixa de Coleta, Tubo, Meio Fio)</v>
      </c>
    </row>
    <row r="8" spans="2:9" s="31" customFormat="1" x14ac:dyDescent="0.35">
      <c r="B8" s="33" t="s">
        <v>95</v>
      </c>
      <c r="C8" s="41" t="s">
        <v>95</v>
      </c>
      <c r="D8" s="41" t="s">
        <v>19</v>
      </c>
      <c r="F8" s="36" t="s">
        <v>302</v>
      </c>
      <c r="G8" s="36" t="s">
        <v>107</v>
      </c>
      <c r="H8" s="36" t="s">
        <v>108</v>
      </c>
      <c r="I8" s="36" t="str">
        <f t="shared" si="0"/>
        <v>2100.D Pavimentação (Cascalho, Tratamento de Sub-Base e Base, Imprimação, CBUQ)</v>
      </c>
    </row>
    <row r="9" spans="2:9" s="31" customFormat="1" x14ac:dyDescent="0.35">
      <c r="B9" s="33" t="s">
        <v>95</v>
      </c>
      <c r="C9" s="41" t="s">
        <v>95</v>
      </c>
      <c r="D9" s="41" t="s">
        <v>115</v>
      </c>
      <c r="F9" s="36" t="s">
        <v>302</v>
      </c>
      <c r="G9" s="36" t="s">
        <v>109</v>
      </c>
      <c r="H9" s="36" t="s">
        <v>110</v>
      </c>
      <c r="I9" s="36" t="str">
        <f t="shared" si="0"/>
        <v>2100.E Hangar (Aeroporto)</v>
      </c>
    </row>
    <row r="10" spans="2:9" s="31" customFormat="1" x14ac:dyDescent="0.35">
      <c r="B10" s="33" t="s">
        <v>103</v>
      </c>
      <c r="C10" s="41" t="s">
        <v>104</v>
      </c>
      <c r="D10" s="41" t="str">
        <f>C10</f>
        <v>Moinho de Grãos</v>
      </c>
      <c r="F10" s="36" t="s">
        <v>302</v>
      </c>
      <c r="G10" s="36" t="s">
        <v>111</v>
      </c>
      <c r="H10" s="36" t="s">
        <v>112</v>
      </c>
      <c r="I10" s="36" t="str">
        <f t="shared" si="0"/>
        <v>2100.H Reservatório de Detenção de Água Pluvial (Dissipador)</v>
      </c>
    </row>
    <row r="11" spans="2:9" s="31" customFormat="1" x14ac:dyDescent="0.35">
      <c r="B11" s="33" t="s">
        <v>103</v>
      </c>
      <c r="C11" s="41" t="s">
        <v>38</v>
      </c>
      <c r="D11" s="41" t="s">
        <v>123</v>
      </c>
      <c r="F11" s="36" t="s">
        <v>302</v>
      </c>
      <c r="G11" s="36" t="s">
        <v>114</v>
      </c>
      <c r="H11" s="36" t="s">
        <v>115</v>
      </c>
      <c r="I11" s="36" t="str">
        <f t="shared" si="0"/>
        <v>2100.I Trevo de Acesso</v>
      </c>
    </row>
    <row r="12" spans="2:9" s="31" customFormat="1" x14ac:dyDescent="0.35">
      <c r="B12" s="33" t="s">
        <v>103</v>
      </c>
      <c r="C12" s="41" t="s">
        <v>38</v>
      </c>
      <c r="D12" s="41" t="s">
        <v>125</v>
      </c>
      <c r="F12" s="34" t="s">
        <v>301</v>
      </c>
      <c r="G12" s="34" t="s">
        <v>118</v>
      </c>
      <c r="H12" s="34" t="s">
        <v>103</v>
      </c>
      <c r="I12" s="34" t="str">
        <f t="shared" si="0"/>
        <v>21B. Etanol</v>
      </c>
    </row>
    <row r="13" spans="2:9" s="31" customFormat="1" x14ac:dyDescent="0.35">
      <c r="B13" s="33" t="s">
        <v>103</v>
      </c>
      <c r="C13" s="41" t="s">
        <v>38</v>
      </c>
      <c r="D13" s="41" t="s">
        <v>129</v>
      </c>
      <c r="F13" s="35" t="s">
        <v>91</v>
      </c>
      <c r="G13" s="35" t="s">
        <v>120</v>
      </c>
      <c r="H13" s="35" t="s">
        <v>104</v>
      </c>
      <c r="I13" s="35" t="str">
        <f t="shared" si="0"/>
        <v>2111. Moinho de Grãos</v>
      </c>
    </row>
    <row r="14" spans="2:9" s="31" customFormat="1" x14ac:dyDescent="0.35">
      <c r="B14" s="33" t="s">
        <v>103</v>
      </c>
      <c r="C14" s="41" t="s">
        <v>38</v>
      </c>
      <c r="D14" s="41" t="s">
        <v>132</v>
      </c>
      <c r="F14" s="35" t="s">
        <v>91</v>
      </c>
      <c r="G14" s="35" t="s">
        <v>121</v>
      </c>
      <c r="H14" s="35" t="s">
        <v>38</v>
      </c>
      <c r="I14" s="35" t="str">
        <f t="shared" si="0"/>
        <v>2102. Cozimento</v>
      </c>
    </row>
    <row r="15" spans="2:9" s="31" customFormat="1" x14ac:dyDescent="0.35">
      <c r="B15" s="33" t="s">
        <v>103</v>
      </c>
      <c r="C15" s="41" t="s">
        <v>38</v>
      </c>
      <c r="D15" s="41" t="s">
        <v>135</v>
      </c>
      <c r="F15" s="36" t="s">
        <v>302</v>
      </c>
      <c r="G15" s="36" t="s">
        <v>122</v>
      </c>
      <c r="H15" s="36" t="s">
        <v>123</v>
      </c>
      <c r="I15" s="36" t="str">
        <f t="shared" si="0"/>
        <v>2102.A Mash Milling</v>
      </c>
    </row>
    <row r="16" spans="2:9" s="31" customFormat="1" x14ac:dyDescent="0.35">
      <c r="B16" s="33" t="s">
        <v>103</v>
      </c>
      <c r="C16" s="41" t="s">
        <v>44</v>
      </c>
      <c r="D16" s="41" t="s">
        <v>140</v>
      </c>
      <c r="F16" s="36" t="s">
        <v>302</v>
      </c>
      <c r="G16" s="36" t="s">
        <v>124</v>
      </c>
      <c r="H16" s="36" t="s">
        <v>125</v>
      </c>
      <c r="I16" s="36" t="str">
        <f t="shared" si="0"/>
        <v>2102.B Liquefação</v>
      </c>
    </row>
    <row r="17" spans="2:9" s="31" customFormat="1" x14ac:dyDescent="0.35">
      <c r="B17" s="33" t="s">
        <v>103</v>
      </c>
      <c r="C17" s="41" t="s">
        <v>44</v>
      </c>
      <c r="D17" s="41" t="s">
        <v>143</v>
      </c>
      <c r="F17" s="36" t="s">
        <v>302</v>
      </c>
      <c r="G17" s="36" t="s">
        <v>128</v>
      </c>
      <c r="H17" s="36" t="s">
        <v>129</v>
      </c>
      <c r="I17" s="36" t="str">
        <f t="shared" si="0"/>
        <v>2102.C Dióxido de Cloro</v>
      </c>
    </row>
    <row r="18" spans="2:9" s="31" customFormat="1" x14ac:dyDescent="0.35">
      <c r="B18" s="33" t="s">
        <v>103</v>
      </c>
      <c r="C18" s="41" t="s">
        <v>44</v>
      </c>
      <c r="D18" s="41" t="s">
        <v>146</v>
      </c>
      <c r="F18" s="36" t="s">
        <v>302</v>
      </c>
      <c r="G18" s="36" t="s">
        <v>131</v>
      </c>
      <c r="H18" s="36" t="s">
        <v>132</v>
      </c>
      <c r="I18" s="36" t="str">
        <f t="shared" si="0"/>
        <v>2102.D Selective Grind Technology (SGT)</v>
      </c>
    </row>
    <row r="19" spans="2:9" s="31" customFormat="1" x14ac:dyDescent="0.35">
      <c r="B19" s="33" t="s">
        <v>103</v>
      </c>
      <c r="C19" s="41" t="s">
        <v>44</v>
      </c>
      <c r="D19" s="41" t="s">
        <v>149</v>
      </c>
      <c r="F19" s="36" t="s">
        <v>302</v>
      </c>
      <c r="G19" s="36" t="s">
        <v>134</v>
      </c>
      <c r="H19" s="36" t="s">
        <v>135</v>
      </c>
      <c r="I19" s="36" t="str">
        <f t="shared" si="0"/>
        <v>2102.E Clean In Place (CIP)</v>
      </c>
    </row>
    <row r="20" spans="2:9" s="31" customFormat="1" x14ac:dyDescent="0.35">
      <c r="B20" s="33" t="s">
        <v>103</v>
      </c>
      <c r="C20" s="41" t="s">
        <v>44</v>
      </c>
      <c r="D20" s="41" t="s">
        <v>153</v>
      </c>
      <c r="F20" s="35" t="s">
        <v>301</v>
      </c>
      <c r="G20" s="35" t="s">
        <v>137</v>
      </c>
      <c r="H20" s="35" t="s">
        <v>44</v>
      </c>
      <c r="I20" s="35" t="str">
        <f t="shared" si="0"/>
        <v>2106. Fermentação</v>
      </c>
    </row>
    <row r="21" spans="2:9" s="31" customFormat="1" x14ac:dyDescent="0.35">
      <c r="B21" s="33" t="s">
        <v>103</v>
      </c>
      <c r="C21" s="41" t="s">
        <v>39</v>
      </c>
      <c r="D21" s="41" t="s">
        <v>40</v>
      </c>
      <c r="F21" s="36" t="s">
        <v>91</v>
      </c>
      <c r="G21" s="36" t="s">
        <v>139</v>
      </c>
      <c r="H21" s="36" t="s">
        <v>140</v>
      </c>
      <c r="I21" s="36" t="str">
        <f t="shared" si="0"/>
        <v>2106.A Propagação do Fermento</v>
      </c>
    </row>
    <row r="22" spans="2:9" s="31" customFormat="1" x14ac:dyDescent="0.35">
      <c r="B22" s="33" t="s">
        <v>103</v>
      </c>
      <c r="C22" s="41" t="s">
        <v>39</v>
      </c>
      <c r="D22" s="41" t="s">
        <v>161</v>
      </c>
      <c r="F22" s="36" t="s">
        <v>302</v>
      </c>
      <c r="G22" s="36" t="s">
        <v>142</v>
      </c>
      <c r="H22" s="36" t="s">
        <v>143</v>
      </c>
      <c r="I22" s="36" t="str">
        <f t="shared" si="0"/>
        <v>2106.B Dornas de Fermentação</v>
      </c>
    </row>
    <row r="23" spans="2:9" s="31" customFormat="1" x14ac:dyDescent="0.35">
      <c r="B23" s="33" t="s">
        <v>103</v>
      </c>
      <c r="C23" s="41" t="s">
        <v>39</v>
      </c>
      <c r="D23" s="41" t="s">
        <v>164</v>
      </c>
      <c r="F23" s="36" t="s">
        <v>302</v>
      </c>
      <c r="G23" s="36" t="s">
        <v>145</v>
      </c>
      <c r="H23" s="36" t="s">
        <v>146</v>
      </c>
      <c r="I23" s="36" t="str">
        <f t="shared" si="0"/>
        <v>2106.C Recuperação de CO₂</v>
      </c>
    </row>
    <row r="24" spans="2:9" s="31" customFormat="1" x14ac:dyDescent="0.35">
      <c r="B24" s="33" t="s">
        <v>103</v>
      </c>
      <c r="C24" s="41" t="s">
        <v>113</v>
      </c>
      <c r="D24" s="41" t="s">
        <v>169</v>
      </c>
      <c r="F24" s="36" t="s">
        <v>302</v>
      </c>
      <c r="G24" s="36" t="s">
        <v>148</v>
      </c>
      <c r="H24" s="36" t="s">
        <v>149</v>
      </c>
      <c r="I24" s="36" t="str">
        <f t="shared" si="0"/>
        <v>2106.D Químicos</v>
      </c>
    </row>
    <row r="25" spans="2:9" s="31" customFormat="1" x14ac:dyDescent="0.35">
      <c r="B25" s="33" t="s">
        <v>103</v>
      </c>
      <c r="C25" s="41" t="s">
        <v>113</v>
      </c>
      <c r="D25" s="41" t="s">
        <v>16</v>
      </c>
      <c r="F25" s="36" t="s">
        <v>302</v>
      </c>
      <c r="G25" s="36" t="s">
        <v>152</v>
      </c>
      <c r="H25" s="36" t="s">
        <v>153</v>
      </c>
      <c r="I25" s="36" t="str">
        <f t="shared" si="0"/>
        <v>2106.E Enzimas</v>
      </c>
    </row>
    <row r="26" spans="2:9" x14ac:dyDescent="0.35">
      <c r="B26" s="33" t="s">
        <v>103</v>
      </c>
      <c r="C26" s="41" t="s">
        <v>113</v>
      </c>
      <c r="D26" s="41" t="s">
        <v>18</v>
      </c>
      <c r="F26" s="35" t="s">
        <v>91</v>
      </c>
      <c r="G26" s="35" t="s">
        <v>155</v>
      </c>
      <c r="H26" s="35" t="s">
        <v>39</v>
      </c>
      <c r="I26" s="35" t="str">
        <f t="shared" si="0"/>
        <v>2108. Destilaria</v>
      </c>
    </row>
    <row r="27" spans="2:9" x14ac:dyDescent="0.35">
      <c r="B27" s="33" t="s">
        <v>116</v>
      </c>
      <c r="C27" s="41" t="s">
        <v>117</v>
      </c>
      <c r="D27" s="41" t="s">
        <v>306</v>
      </c>
      <c r="F27" s="36" t="s">
        <v>302</v>
      </c>
      <c r="G27" s="36" t="s">
        <v>158</v>
      </c>
      <c r="H27" s="36" t="s">
        <v>40</v>
      </c>
      <c r="I27" s="36" t="str">
        <f t="shared" si="0"/>
        <v>2108.A Dorna Volante</v>
      </c>
    </row>
    <row r="28" spans="2:9" x14ac:dyDescent="0.35">
      <c r="B28" s="33" t="s">
        <v>116</v>
      </c>
      <c r="C28" s="41" t="s">
        <v>117</v>
      </c>
      <c r="D28" s="41" t="s">
        <v>307</v>
      </c>
      <c r="F28" s="36" t="s">
        <v>302</v>
      </c>
      <c r="G28" s="36" t="s">
        <v>160</v>
      </c>
      <c r="H28" s="36" t="s">
        <v>161</v>
      </c>
      <c r="I28" s="36" t="str">
        <f t="shared" si="0"/>
        <v>2108.B Destilaria de Etanol Hidratado</v>
      </c>
    </row>
    <row r="29" spans="2:9" x14ac:dyDescent="0.35">
      <c r="B29" s="33" t="s">
        <v>116</v>
      </c>
      <c r="C29" s="41" t="s">
        <v>117</v>
      </c>
      <c r="D29" s="41" t="s">
        <v>185</v>
      </c>
      <c r="F29" s="36" t="s">
        <v>302</v>
      </c>
      <c r="G29" s="36" t="s">
        <v>163</v>
      </c>
      <c r="H29" s="36" t="s">
        <v>164</v>
      </c>
      <c r="I29" s="36" t="str">
        <f t="shared" si="0"/>
        <v>2108.C Destilaria de Etanol Anidro</v>
      </c>
    </row>
    <row r="30" spans="2:9" x14ac:dyDescent="0.35">
      <c r="B30" s="33" t="s">
        <v>116</v>
      </c>
      <c r="C30" s="41" t="s">
        <v>117</v>
      </c>
      <c r="D30" s="41" t="s">
        <v>188</v>
      </c>
      <c r="F30" s="35" t="s">
        <v>91</v>
      </c>
      <c r="G30" s="35" t="s">
        <v>166</v>
      </c>
      <c r="H30" s="35" t="s">
        <v>113</v>
      </c>
      <c r="I30" s="35" t="str">
        <f t="shared" si="0"/>
        <v>2127. Armazenamento e Expedição de Etanol</v>
      </c>
    </row>
    <row r="31" spans="2:9" x14ac:dyDescent="0.35">
      <c r="B31" s="33" t="s">
        <v>116</v>
      </c>
      <c r="C31" s="41" t="s">
        <v>117</v>
      </c>
      <c r="D31" s="41" t="s">
        <v>191</v>
      </c>
      <c r="F31" s="36" t="s">
        <v>302</v>
      </c>
      <c r="G31" s="36" t="s">
        <v>168</v>
      </c>
      <c r="H31" s="36" t="s">
        <v>169</v>
      </c>
      <c r="I31" s="36" t="str">
        <f t="shared" si="0"/>
        <v>2127.A Armazenamento de Etanol</v>
      </c>
    </row>
    <row r="32" spans="2:9" x14ac:dyDescent="0.35">
      <c r="B32" s="33" t="s">
        <v>116</v>
      </c>
      <c r="C32" s="41" t="s">
        <v>119</v>
      </c>
      <c r="D32" s="41" t="s">
        <v>195</v>
      </c>
      <c r="F32" s="36" t="s">
        <v>302</v>
      </c>
      <c r="G32" s="36" t="s">
        <v>171</v>
      </c>
      <c r="H32" s="36" t="s">
        <v>16</v>
      </c>
      <c r="I32" s="36" t="str">
        <f t="shared" si="0"/>
        <v>2127.B Expedição de Etanol</v>
      </c>
    </row>
    <row r="33" spans="2:9" x14ac:dyDescent="0.35">
      <c r="B33" s="33" t="s">
        <v>116</v>
      </c>
      <c r="C33" s="41" t="s">
        <v>119</v>
      </c>
      <c r="D33" s="41" t="s">
        <v>198</v>
      </c>
      <c r="F33" s="36" t="s">
        <v>302</v>
      </c>
      <c r="G33" s="36" t="s">
        <v>172</v>
      </c>
      <c r="H33" s="36" t="s">
        <v>18</v>
      </c>
      <c r="I33" s="36" t="str">
        <f t="shared" si="0"/>
        <v>2127.C Tanques de Medição</v>
      </c>
    </row>
    <row r="34" spans="2:9" x14ac:dyDescent="0.35">
      <c r="B34" s="33" t="s">
        <v>116</v>
      </c>
      <c r="C34" s="41" t="s">
        <v>63</v>
      </c>
      <c r="D34" s="41" t="s">
        <v>203</v>
      </c>
      <c r="F34" s="34" t="s">
        <v>301</v>
      </c>
      <c r="G34" s="34" t="s">
        <v>174</v>
      </c>
      <c r="H34" s="34" t="s">
        <v>175</v>
      </c>
      <c r="I34" s="34" t="str">
        <f t="shared" si="0"/>
        <v>21C. DDGS e Óleo</v>
      </c>
    </row>
    <row r="35" spans="2:9" x14ac:dyDescent="0.35">
      <c r="B35" s="33" t="s">
        <v>116</v>
      </c>
      <c r="C35" s="41" t="s">
        <v>63</v>
      </c>
      <c r="D35" s="41" t="s">
        <v>206</v>
      </c>
      <c r="F35" s="35" t="s">
        <v>91</v>
      </c>
      <c r="G35" s="35" t="s">
        <v>177</v>
      </c>
      <c r="H35" s="35" t="s">
        <v>117</v>
      </c>
      <c r="I35" s="35" t="str">
        <f t="shared" ref="I35:I66" si="1">_xlfn.CONCAT(G35," ",H35)</f>
        <v>2109. Separação de Sólidos e Secagem de DDGS</v>
      </c>
    </row>
    <row r="36" spans="2:9" x14ac:dyDescent="0.35">
      <c r="B36" s="33" t="s">
        <v>116</v>
      </c>
      <c r="C36" s="41" t="s">
        <v>63</v>
      </c>
      <c r="D36" s="41" t="s">
        <v>210</v>
      </c>
      <c r="F36" s="36" t="s">
        <v>302</v>
      </c>
      <c r="G36" s="36" t="s">
        <v>179</v>
      </c>
      <c r="H36" s="36" t="s">
        <v>180</v>
      </c>
      <c r="I36" s="36" t="str">
        <f t="shared" si="1"/>
        <v>2109.A Centrifugação de Vinhaça (Decanter)</v>
      </c>
    </row>
    <row r="37" spans="2:9" x14ac:dyDescent="0.35">
      <c r="B37" s="33" t="s">
        <v>126</v>
      </c>
      <c r="C37" s="41" t="s">
        <v>127</v>
      </c>
      <c r="D37" s="41" t="s">
        <v>216</v>
      </c>
      <c r="F37" s="36" t="s">
        <v>302</v>
      </c>
      <c r="G37" s="36" t="s">
        <v>182</v>
      </c>
      <c r="H37" s="36" t="s">
        <v>294</v>
      </c>
      <c r="I37" s="36" t="str">
        <f t="shared" si="1"/>
        <v>2109.B Secadores de Distiller’s Dried Grains with Solubles (DDGS)</v>
      </c>
    </row>
    <row r="38" spans="2:9" x14ac:dyDescent="0.35">
      <c r="B38" s="33" t="s">
        <v>126</v>
      </c>
      <c r="C38" s="41" t="s">
        <v>127</v>
      </c>
      <c r="D38" s="41" t="s">
        <v>218</v>
      </c>
      <c r="F38" s="36" t="s">
        <v>302</v>
      </c>
      <c r="G38" s="36" t="s">
        <v>184</v>
      </c>
      <c r="H38" s="36" t="s">
        <v>185</v>
      </c>
      <c r="I38" s="36" t="str">
        <f t="shared" si="1"/>
        <v>2109.C Armazenamento e Expedição de DDGS</v>
      </c>
    </row>
    <row r="39" spans="2:9" x14ac:dyDescent="0.35">
      <c r="B39" s="33" t="s">
        <v>126</v>
      </c>
      <c r="C39" s="41" t="s">
        <v>130</v>
      </c>
      <c r="D39" s="41" t="s">
        <v>3</v>
      </c>
      <c r="F39" s="36" t="s">
        <v>302</v>
      </c>
      <c r="G39" s="36" t="s">
        <v>187</v>
      </c>
      <c r="H39" s="36" t="s">
        <v>188</v>
      </c>
      <c r="I39" s="36" t="str">
        <f t="shared" si="1"/>
        <v>2109.D Refrigeração do DDGS</v>
      </c>
    </row>
    <row r="40" spans="2:9" x14ac:dyDescent="0.35">
      <c r="B40" s="33" t="s">
        <v>126</v>
      </c>
      <c r="C40" s="41" t="s">
        <v>130</v>
      </c>
      <c r="D40" s="41" t="s">
        <v>222</v>
      </c>
      <c r="F40" s="36" t="s">
        <v>302</v>
      </c>
      <c r="G40" s="36" t="s">
        <v>190</v>
      </c>
      <c r="H40" s="36" t="s">
        <v>191</v>
      </c>
      <c r="I40" s="36" t="str">
        <f t="shared" si="1"/>
        <v>2109.E Sistema de Vinhaça Grossa e Xarope</v>
      </c>
    </row>
    <row r="41" spans="2:9" x14ac:dyDescent="0.35">
      <c r="B41" s="33" t="s">
        <v>126</v>
      </c>
      <c r="C41" s="41" t="s">
        <v>130</v>
      </c>
      <c r="D41" s="41" t="s">
        <v>308</v>
      </c>
      <c r="F41" s="35" t="s">
        <v>91</v>
      </c>
      <c r="G41" s="35" t="s">
        <v>193</v>
      </c>
      <c r="H41" s="35" t="s">
        <v>119</v>
      </c>
      <c r="I41" s="35" t="str">
        <f t="shared" si="1"/>
        <v>2117. Sistema de Evaporação de Vinhaça</v>
      </c>
    </row>
    <row r="42" spans="2:9" x14ac:dyDescent="0.35">
      <c r="B42" s="33" t="s">
        <v>126</v>
      </c>
      <c r="C42" s="41" t="s">
        <v>130</v>
      </c>
      <c r="D42" s="41" t="s">
        <v>225</v>
      </c>
      <c r="F42" s="36" t="s">
        <v>302</v>
      </c>
      <c r="G42" s="36" t="s">
        <v>194</v>
      </c>
      <c r="H42" s="36" t="s">
        <v>195</v>
      </c>
      <c r="I42" s="36" t="str">
        <f t="shared" si="1"/>
        <v>2117.A Evaporadores</v>
      </c>
    </row>
    <row r="43" spans="2:9" x14ac:dyDescent="0.35">
      <c r="B43" s="33" t="s">
        <v>126</v>
      </c>
      <c r="C43" s="41" t="s">
        <v>133</v>
      </c>
      <c r="D43" s="41" t="s">
        <v>32</v>
      </c>
      <c r="F43" s="36" t="s">
        <v>302</v>
      </c>
      <c r="G43" s="37" t="s">
        <v>197</v>
      </c>
      <c r="H43" s="36" t="s">
        <v>198</v>
      </c>
      <c r="I43" s="37" t="str">
        <f t="shared" si="1"/>
        <v>2117.B Armazenamento de Vinhaça Fina</v>
      </c>
    </row>
    <row r="44" spans="2:9" x14ac:dyDescent="0.35">
      <c r="B44" s="33" t="s">
        <v>126</v>
      </c>
      <c r="C44" s="41" t="s">
        <v>133</v>
      </c>
      <c r="D44" s="41" t="s">
        <v>229</v>
      </c>
      <c r="F44" s="35" t="s">
        <v>91</v>
      </c>
      <c r="G44" s="35" t="s">
        <v>200</v>
      </c>
      <c r="H44" s="35" t="s">
        <v>63</v>
      </c>
      <c r="I44" s="35" t="str">
        <f t="shared" si="1"/>
        <v>2120. Fábrica de Óleo</v>
      </c>
    </row>
    <row r="45" spans="2:9" x14ac:dyDescent="0.35">
      <c r="B45" s="33" t="s">
        <v>126</v>
      </c>
      <c r="C45" s="41" t="s">
        <v>136</v>
      </c>
      <c r="D45" s="41" t="s">
        <v>232</v>
      </c>
      <c r="F45" s="36" t="s">
        <v>302</v>
      </c>
      <c r="G45" s="36" t="s">
        <v>202</v>
      </c>
      <c r="H45" s="36" t="s">
        <v>203</v>
      </c>
      <c r="I45" s="36" t="str">
        <f t="shared" si="1"/>
        <v>2120.A Extração de Óleo (Tricanter)</v>
      </c>
    </row>
    <row r="46" spans="2:9" x14ac:dyDescent="0.35">
      <c r="B46" s="33" t="s">
        <v>126</v>
      </c>
      <c r="C46" s="41" t="s">
        <v>138</v>
      </c>
      <c r="D46" s="41" t="s">
        <v>235</v>
      </c>
      <c r="F46" s="36" t="s">
        <v>302</v>
      </c>
      <c r="G46" s="36" t="s">
        <v>205</v>
      </c>
      <c r="H46" s="36" t="s">
        <v>206</v>
      </c>
      <c r="I46" s="36" t="str">
        <f t="shared" si="1"/>
        <v>2120.B Armazenamento de Óleo</v>
      </c>
    </row>
    <row r="47" spans="2:9" x14ac:dyDescent="0.35">
      <c r="B47" s="33" t="s">
        <v>126</v>
      </c>
      <c r="C47" s="41" t="s">
        <v>138</v>
      </c>
      <c r="D47" s="41" t="s">
        <v>237</v>
      </c>
      <c r="F47" s="36" t="s">
        <v>302</v>
      </c>
      <c r="G47" s="36" t="s">
        <v>209</v>
      </c>
      <c r="H47" s="36" t="s">
        <v>210</v>
      </c>
      <c r="I47" s="36" t="str">
        <f t="shared" si="1"/>
        <v>2120.C Expedição de Óleo</v>
      </c>
    </row>
    <row r="48" spans="2:9" x14ac:dyDescent="0.35">
      <c r="B48" s="33" t="s">
        <v>126</v>
      </c>
      <c r="C48" s="41" t="s">
        <v>138</v>
      </c>
      <c r="D48" s="41" t="s">
        <v>239</v>
      </c>
      <c r="F48" s="34" t="s">
        <v>301</v>
      </c>
      <c r="G48" s="34" t="s">
        <v>212</v>
      </c>
      <c r="H48" s="34" t="s">
        <v>126</v>
      </c>
      <c r="I48" s="34" t="str">
        <f t="shared" si="1"/>
        <v>21D. Utilidades</v>
      </c>
    </row>
    <row r="49" spans="2:9" x14ac:dyDescent="0.35">
      <c r="B49" s="33" t="s">
        <v>126</v>
      </c>
      <c r="C49" s="41" t="s">
        <v>138</v>
      </c>
      <c r="D49" s="41" t="s">
        <v>241</v>
      </c>
      <c r="F49" s="35" t="s">
        <v>91</v>
      </c>
      <c r="G49" s="35" t="s">
        <v>214</v>
      </c>
      <c r="H49" s="35" t="s">
        <v>127</v>
      </c>
      <c r="I49" s="35" t="str">
        <f t="shared" si="1"/>
        <v>2131. Biomassa</v>
      </c>
    </row>
    <row r="50" spans="2:9" x14ac:dyDescent="0.35">
      <c r="B50" s="33" t="s">
        <v>126</v>
      </c>
      <c r="C50" s="41" t="s">
        <v>141</v>
      </c>
      <c r="D50" s="41" t="s">
        <v>244</v>
      </c>
      <c r="F50" s="36" t="s">
        <v>302</v>
      </c>
      <c r="G50" s="36" t="s">
        <v>215</v>
      </c>
      <c r="H50" s="36" t="s">
        <v>216</v>
      </c>
      <c r="I50" s="36" t="str">
        <f t="shared" si="1"/>
        <v>2131.A Armazenamento de Biomassa</v>
      </c>
    </row>
    <row r="51" spans="2:9" x14ac:dyDescent="0.35">
      <c r="B51" s="33" t="s">
        <v>126</v>
      </c>
      <c r="C51" s="41" t="s">
        <v>141</v>
      </c>
      <c r="D51" s="41" t="s">
        <v>246</v>
      </c>
      <c r="F51" s="36" t="s">
        <v>302</v>
      </c>
      <c r="G51" s="36" t="s">
        <v>217</v>
      </c>
      <c r="H51" s="36" t="s">
        <v>218</v>
      </c>
      <c r="I51" s="36" t="str">
        <f t="shared" si="1"/>
        <v>2131.B Sistema de Alimentação</v>
      </c>
    </row>
    <row r="52" spans="2:9" x14ac:dyDescent="0.35">
      <c r="B52" s="33" t="s">
        <v>126</v>
      </c>
      <c r="C52" s="41" t="s">
        <v>144</v>
      </c>
      <c r="D52" s="41" t="s">
        <v>309</v>
      </c>
      <c r="F52" s="35" t="s">
        <v>91</v>
      </c>
      <c r="G52" s="35" t="s">
        <v>219</v>
      </c>
      <c r="H52" s="35" t="s">
        <v>130</v>
      </c>
      <c r="I52" s="35" t="str">
        <f t="shared" si="1"/>
        <v>2101. Geração de Vapor</v>
      </c>
    </row>
    <row r="53" spans="2:9" x14ac:dyDescent="0.35">
      <c r="B53" s="33" t="s">
        <v>126</v>
      </c>
      <c r="C53" s="41" t="s">
        <v>147</v>
      </c>
      <c r="D53" s="41" t="str">
        <f>C53</f>
        <v>Sistema de Selagem</v>
      </c>
      <c r="F53" s="36" t="s">
        <v>302</v>
      </c>
      <c r="G53" s="36" t="s">
        <v>220</v>
      </c>
      <c r="H53" s="36" t="s">
        <v>3</v>
      </c>
      <c r="I53" s="36" t="str">
        <f t="shared" si="1"/>
        <v>2101.A Caldeira</v>
      </c>
    </row>
    <row r="54" spans="2:9" x14ac:dyDescent="0.35">
      <c r="B54" s="33" t="s">
        <v>150</v>
      </c>
      <c r="C54" s="41" t="s">
        <v>151</v>
      </c>
      <c r="D54" s="41" t="s">
        <v>252</v>
      </c>
      <c r="F54" s="36" t="s">
        <v>302</v>
      </c>
      <c r="G54" s="36" t="s">
        <v>221</v>
      </c>
      <c r="H54" s="36" t="s">
        <v>222</v>
      </c>
      <c r="I54" s="36" t="str">
        <f t="shared" si="1"/>
        <v>2101.B Armazenamento de Água Desmineralizada</v>
      </c>
    </row>
    <row r="55" spans="2:9" x14ac:dyDescent="0.35">
      <c r="B55" s="33" t="s">
        <v>150</v>
      </c>
      <c r="C55" s="41" t="s">
        <v>151</v>
      </c>
      <c r="D55" s="41" t="s">
        <v>310</v>
      </c>
      <c r="F55" s="36" t="s">
        <v>302</v>
      </c>
      <c r="G55" s="36" t="s">
        <v>223</v>
      </c>
      <c r="H55" s="36" t="s">
        <v>308</v>
      </c>
      <c r="I55" s="36" t="str">
        <f t="shared" si="1"/>
        <v>2101.C Estação Redutora de Pressão</v>
      </c>
    </row>
    <row r="56" spans="2:9" x14ac:dyDescent="0.35">
      <c r="B56" s="33" t="s">
        <v>150</v>
      </c>
      <c r="C56" s="41" t="s">
        <v>151</v>
      </c>
      <c r="D56" s="41" t="s">
        <v>255</v>
      </c>
      <c r="F56" s="36" t="s">
        <v>302</v>
      </c>
      <c r="G56" s="36" t="s">
        <v>224</v>
      </c>
      <c r="H56" s="36" t="s">
        <v>225</v>
      </c>
      <c r="I56" s="36" t="str">
        <f t="shared" si="1"/>
        <v>2101.D Caldeira de Cinzas</v>
      </c>
    </row>
    <row r="57" spans="2:9" x14ac:dyDescent="0.35">
      <c r="B57" s="33" t="s">
        <v>150</v>
      </c>
      <c r="C57" s="41" t="s">
        <v>154</v>
      </c>
      <c r="D57" s="41" t="s">
        <v>11</v>
      </c>
      <c r="F57" s="35" t="s">
        <v>91</v>
      </c>
      <c r="G57" s="35" t="s">
        <v>226</v>
      </c>
      <c r="H57" s="35" t="s">
        <v>133</v>
      </c>
      <c r="I57" s="35" t="str">
        <f t="shared" si="1"/>
        <v>2104. Geração de Energia</v>
      </c>
    </row>
    <row r="58" spans="2:9" x14ac:dyDescent="0.35">
      <c r="B58" s="33" t="s">
        <v>150</v>
      </c>
      <c r="C58" s="41" t="s">
        <v>154</v>
      </c>
      <c r="D58" s="41" t="s">
        <v>312</v>
      </c>
      <c r="F58" s="36" t="s">
        <v>302</v>
      </c>
      <c r="G58" s="36" t="s">
        <v>227</v>
      </c>
      <c r="H58" s="36" t="s">
        <v>32</v>
      </c>
      <c r="I58" s="36" t="str">
        <f t="shared" si="1"/>
        <v>2104.A Casa de Força</v>
      </c>
    </row>
    <row r="59" spans="2:9" x14ac:dyDescent="0.35">
      <c r="B59" s="33" t="s">
        <v>150</v>
      </c>
      <c r="C59" s="41" t="s">
        <v>154</v>
      </c>
      <c r="D59" s="41" t="s">
        <v>313</v>
      </c>
      <c r="F59" s="36" t="s">
        <v>302</v>
      </c>
      <c r="G59" s="36" t="s">
        <v>228</v>
      </c>
      <c r="H59" s="36" t="s">
        <v>229</v>
      </c>
      <c r="I59" s="36" t="str">
        <f t="shared" si="1"/>
        <v>2104.B Subestação e Distribuição de Energia</v>
      </c>
    </row>
    <row r="60" spans="2:9" x14ac:dyDescent="0.35">
      <c r="B60" s="33" t="s">
        <v>150</v>
      </c>
      <c r="C60" s="41" t="s">
        <v>154</v>
      </c>
      <c r="D60" s="41" t="s">
        <v>314</v>
      </c>
      <c r="F60" s="35" t="s">
        <v>91</v>
      </c>
      <c r="G60" s="35" t="s">
        <v>230</v>
      </c>
      <c r="H60" s="35" t="s">
        <v>136</v>
      </c>
      <c r="I60" s="35" t="str">
        <f t="shared" si="1"/>
        <v>2121. Sistema de Geração de Ar Comprimido</v>
      </c>
    </row>
    <row r="61" spans="2:9" x14ac:dyDescent="0.35">
      <c r="B61" s="33" t="s">
        <v>150</v>
      </c>
      <c r="C61" s="41" t="s">
        <v>154</v>
      </c>
      <c r="D61" s="41" t="s">
        <v>315</v>
      </c>
      <c r="F61" s="36" t="s">
        <v>302</v>
      </c>
      <c r="G61" s="36" t="s">
        <v>231</v>
      </c>
      <c r="H61" s="36" t="s">
        <v>232</v>
      </c>
      <c r="I61" s="36" t="str">
        <f t="shared" si="1"/>
        <v>2121.A Geração e Distribuição de Ar Comprimido</v>
      </c>
    </row>
    <row r="62" spans="2:9" x14ac:dyDescent="0.35">
      <c r="B62" s="33" t="s">
        <v>150</v>
      </c>
      <c r="C62" s="41" t="s">
        <v>154</v>
      </c>
      <c r="D62" s="41" t="s">
        <v>260</v>
      </c>
      <c r="F62" s="35" t="s">
        <v>91</v>
      </c>
      <c r="G62" s="35" t="s">
        <v>233</v>
      </c>
      <c r="H62" s="35" t="s">
        <v>138</v>
      </c>
      <c r="I62" s="35" t="str">
        <f t="shared" si="1"/>
        <v>2110. Estação de Tratamento de Água (ETA)</v>
      </c>
    </row>
    <row r="63" spans="2:9" x14ac:dyDescent="0.35">
      <c r="B63" s="33" t="s">
        <v>150</v>
      </c>
      <c r="C63" s="41" t="s">
        <v>154</v>
      </c>
      <c r="D63" s="41" t="s">
        <v>262</v>
      </c>
      <c r="F63" s="36" t="s">
        <v>302</v>
      </c>
      <c r="G63" s="36" t="s">
        <v>234</v>
      </c>
      <c r="H63" s="36" t="s">
        <v>235</v>
      </c>
      <c r="I63" s="36" t="str">
        <f t="shared" si="1"/>
        <v>2110.A Poços Artesianos</v>
      </c>
    </row>
    <row r="64" spans="2:9" x14ac:dyDescent="0.35">
      <c r="B64" s="33" t="s">
        <v>156</v>
      </c>
      <c r="C64" s="41" t="s">
        <v>156</v>
      </c>
      <c r="D64" s="41" t="s">
        <v>157</v>
      </c>
      <c r="F64" s="36" t="s">
        <v>302</v>
      </c>
      <c r="G64" s="36" t="s">
        <v>236</v>
      </c>
      <c r="H64" s="36" t="s">
        <v>237</v>
      </c>
      <c r="I64" s="36" t="str">
        <f t="shared" si="1"/>
        <v>2110.B Osmose</v>
      </c>
    </row>
    <row r="65" spans="2:9" x14ac:dyDescent="0.35">
      <c r="B65" s="33" t="s">
        <v>156</v>
      </c>
      <c r="C65" s="41" t="s">
        <v>156</v>
      </c>
      <c r="D65" s="41" t="s">
        <v>159</v>
      </c>
      <c r="F65" s="36" t="s">
        <v>302</v>
      </c>
      <c r="G65" s="36" t="s">
        <v>238</v>
      </c>
      <c r="H65" s="36" t="s">
        <v>239</v>
      </c>
      <c r="I65" s="36" t="str">
        <f t="shared" si="1"/>
        <v>2110.C Armazenamento de Água Bruta</v>
      </c>
    </row>
    <row r="66" spans="2:9" x14ac:dyDescent="0.35">
      <c r="B66" s="33" t="s">
        <v>156</v>
      </c>
      <c r="C66" s="41" t="s">
        <v>156</v>
      </c>
      <c r="D66" s="41" t="s">
        <v>162</v>
      </c>
      <c r="F66" s="36" t="s">
        <v>302</v>
      </c>
      <c r="G66" s="36" t="s">
        <v>240</v>
      </c>
      <c r="H66" s="36" t="s">
        <v>241</v>
      </c>
      <c r="I66" s="36" t="str">
        <f t="shared" si="1"/>
        <v>2110.D Água Potável</v>
      </c>
    </row>
    <row r="67" spans="2:9" x14ac:dyDescent="0.35">
      <c r="B67" s="33" t="s">
        <v>156</v>
      </c>
      <c r="C67" s="41" t="s">
        <v>156</v>
      </c>
      <c r="D67" s="41" t="s">
        <v>165</v>
      </c>
      <c r="F67" s="35" t="s">
        <v>91</v>
      </c>
      <c r="G67" s="35" t="s">
        <v>242</v>
      </c>
      <c r="H67" s="35" t="s">
        <v>141</v>
      </c>
      <c r="I67" s="35" t="str">
        <f t="shared" ref="I67:I97" si="2">_xlfn.CONCAT(G67," ",H67)</f>
        <v>2114. Sistema de Refrigeração de Água</v>
      </c>
    </row>
    <row r="68" spans="2:9" x14ac:dyDescent="0.35">
      <c r="B68" s="33" t="s">
        <v>156</v>
      </c>
      <c r="C68" s="41" t="s">
        <v>156</v>
      </c>
      <c r="D68" s="41" t="s">
        <v>167</v>
      </c>
      <c r="F68" s="36" t="s">
        <v>302</v>
      </c>
      <c r="G68" s="36" t="s">
        <v>243</v>
      </c>
      <c r="H68" s="36" t="s">
        <v>244</v>
      </c>
      <c r="I68" s="36" t="str">
        <f t="shared" si="2"/>
        <v>2114.A Torres de Resfriamento de Água</v>
      </c>
    </row>
    <row r="69" spans="2:9" x14ac:dyDescent="0.35">
      <c r="B69" s="33" t="s">
        <v>156</v>
      </c>
      <c r="C69" s="41" t="s">
        <v>156</v>
      </c>
      <c r="D69" s="41" t="s">
        <v>170</v>
      </c>
      <c r="F69" s="36" t="s">
        <v>302</v>
      </c>
      <c r="G69" s="36" t="s">
        <v>245</v>
      </c>
      <c r="H69" s="36" t="s">
        <v>246</v>
      </c>
      <c r="I69" s="36" t="str">
        <f t="shared" si="2"/>
        <v>2114.B Chillers</v>
      </c>
    </row>
    <row r="70" spans="2:9" x14ac:dyDescent="0.35">
      <c r="B70" s="33" t="s">
        <v>156</v>
      </c>
      <c r="C70" s="41" t="s">
        <v>156</v>
      </c>
      <c r="D70" s="41" t="s">
        <v>47</v>
      </c>
      <c r="F70" s="35" t="s">
        <v>91</v>
      </c>
      <c r="G70" s="35" t="s">
        <v>247</v>
      </c>
      <c r="H70" s="35" t="s">
        <v>144</v>
      </c>
      <c r="I70" s="35" t="str">
        <f t="shared" si="2"/>
        <v>2116. Sistema de Combate a Incêndio</v>
      </c>
    </row>
    <row r="71" spans="2:9" x14ac:dyDescent="0.35">
      <c r="B71" s="33" t="s">
        <v>156</v>
      </c>
      <c r="C71" s="41" t="s">
        <v>156</v>
      </c>
      <c r="D71" s="41" t="s">
        <v>173</v>
      </c>
      <c r="F71" s="35" t="s">
        <v>91</v>
      </c>
      <c r="G71" s="35" t="s">
        <v>248</v>
      </c>
      <c r="H71" s="35" t="s">
        <v>147</v>
      </c>
      <c r="I71" s="35" t="str">
        <f t="shared" si="2"/>
        <v>2112. Sistema de Selagem</v>
      </c>
    </row>
    <row r="72" spans="2:9" x14ac:dyDescent="0.35">
      <c r="B72" s="33" t="s">
        <v>156</v>
      </c>
      <c r="C72" s="41" t="s">
        <v>156</v>
      </c>
      <c r="D72" s="41" t="s">
        <v>176</v>
      </c>
      <c r="F72" s="34" t="s">
        <v>301</v>
      </c>
      <c r="G72" s="34" t="s">
        <v>249</v>
      </c>
      <c r="H72" s="34" t="s">
        <v>150</v>
      </c>
      <c r="I72" s="34" t="str">
        <f t="shared" si="2"/>
        <v>21E. Grãos</v>
      </c>
    </row>
    <row r="73" spans="2:9" x14ac:dyDescent="0.35">
      <c r="B73" s="33" t="s">
        <v>156</v>
      </c>
      <c r="C73" s="41" t="s">
        <v>156</v>
      </c>
      <c r="D73" s="41" t="s">
        <v>178</v>
      </c>
      <c r="F73" s="35" t="s">
        <v>91</v>
      </c>
      <c r="G73" s="35" t="s">
        <v>250</v>
      </c>
      <c r="H73" s="35" t="s">
        <v>151</v>
      </c>
      <c r="I73" s="35" t="str">
        <f t="shared" si="2"/>
        <v>2115. Recebimento de Grãos</v>
      </c>
    </row>
    <row r="74" spans="2:9" x14ac:dyDescent="0.35">
      <c r="B74" s="33" t="s">
        <v>156</v>
      </c>
      <c r="C74" s="41" t="s">
        <v>156</v>
      </c>
      <c r="D74" s="41" t="s">
        <v>181</v>
      </c>
      <c r="F74" s="36" t="s">
        <v>302</v>
      </c>
      <c r="G74" s="36" t="s">
        <v>251</v>
      </c>
      <c r="H74" s="36" t="s">
        <v>252</v>
      </c>
      <c r="I74" s="36" t="str">
        <f t="shared" si="2"/>
        <v>2115.A Classificação</v>
      </c>
    </row>
    <row r="75" spans="2:9" x14ac:dyDescent="0.35">
      <c r="B75" s="33" t="s">
        <v>156</v>
      </c>
      <c r="C75" s="41" t="s">
        <v>156</v>
      </c>
      <c r="D75" s="41" t="s">
        <v>183</v>
      </c>
      <c r="F75" s="36" t="s">
        <v>302</v>
      </c>
      <c r="G75" s="36" t="s">
        <v>253</v>
      </c>
      <c r="H75" s="36" t="s">
        <v>310</v>
      </c>
      <c r="I75" s="36" t="str">
        <f t="shared" si="2"/>
        <v>2115.B Balança Rodoviária</v>
      </c>
    </row>
    <row r="76" spans="2:9" x14ac:dyDescent="0.35">
      <c r="B76" s="33" t="s">
        <v>156</v>
      </c>
      <c r="C76" s="41" t="s">
        <v>156</v>
      </c>
      <c r="D76" s="41" t="s">
        <v>186</v>
      </c>
      <c r="F76" s="36" t="s">
        <v>302</v>
      </c>
      <c r="G76" s="36" t="s">
        <v>254</v>
      </c>
      <c r="H76" s="36" t="s">
        <v>255</v>
      </c>
      <c r="I76" s="36" t="str">
        <f t="shared" si="2"/>
        <v>2115.C Faturamento</v>
      </c>
    </row>
    <row r="77" spans="2:9" x14ac:dyDescent="0.35">
      <c r="B77" s="33" t="s">
        <v>156</v>
      </c>
      <c r="C77" s="41" t="s">
        <v>156</v>
      </c>
      <c r="D77" s="41" t="s">
        <v>189</v>
      </c>
      <c r="F77" s="35" t="s">
        <v>91</v>
      </c>
      <c r="G77" s="35" t="s">
        <v>256</v>
      </c>
      <c r="H77" s="35" t="s">
        <v>154</v>
      </c>
      <c r="I77" s="35" t="str">
        <f t="shared" si="2"/>
        <v>2119. Descarregamento e Armazenamento de Grãos</v>
      </c>
    </row>
    <row r="78" spans="2:9" x14ac:dyDescent="0.35">
      <c r="B78" s="33" t="s">
        <v>156</v>
      </c>
      <c r="C78" s="41" t="s">
        <v>156</v>
      </c>
      <c r="D78" s="41" t="s">
        <v>192</v>
      </c>
      <c r="F78" s="36" t="s">
        <v>302</v>
      </c>
      <c r="G78" s="36" t="s">
        <v>257</v>
      </c>
      <c r="H78" s="36" t="s">
        <v>258</v>
      </c>
      <c r="I78" s="36" t="str">
        <f t="shared" si="2"/>
        <v>2119.A Tombador, Casa de Máquinas, Pré-Limpeza, Moega e Elevador</v>
      </c>
    </row>
    <row r="79" spans="2:9" x14ac:dyDescent="0.35">
      <c r="B79" s="33" t="s">
        <v>156</v>
      </c>
      <c r="C79" s="41" t="s">
        <v>156</v>
      </c>
      <c r="D79" s="41" t="s">
        <v>10</v>
      </c>
      <c r="F79" s="36" t="s">
        <v>302</v>
      </c>
      <c r="G79" s="36" t="s">
        <v>259</v>
      </c>
      <c r="H79" s="36" t="s">
        <v>260</v>
      </c>
      <c r="I79" s="36" t="str">
        <f t="shared" si="2"/>
        <v>2119.B Armazenamento de Grãos</v>
      </c>
    </row>
    <row r="80" spans="2:9" x14ac:dyDescent="0.35">
      <c r="B80" s="33" t="s">
        <v>156</v>
      </c>
      <c r="C80" s="41" t="s">
        <v>156</v>
      </c>
      <c r="D80" s="41" t="s">
        <v>196</v>
      </c>
      <c r="F80" s="36" t="s">
        <v>302</v>
      </c>
      <c r="G80" s="36" t="s">
        <v>261</v>
      </c>
      <c r="H80" s="36" t="s">
        <v>262</v>
      </c>
      <c r="I80" s="36" t="str">
        <f t="shared" si="2"/>
        <v>2119.C Secagem de Grãos</v>
      </c>
    </row>
    <row r="81" spans="2:9" x14ac:dyDescent="0.35">
      <c r="B81" s="33" t="s">
        <v>156</v>
      </c>
      <c r="C81" s="41" t="s">
        <v>156</v>
      </c>
      <c r="D81" s="41" t="s">
        <v>199</v>
      </c>
      <c r="F81" s="34" t="s">
        <v>301</v>
      </c>
      <c r="G81" s="34" t="s">
        <v>263</v>
      </c>
      <c r="H81" s="34" t="s">
        <v>156</v>
      </c>
      <c r="I81" s="34" t="str">
        <f t="shared" si="2"/>
        <v>21F. Administração</v>
      </c>
    </row>
    <row r="82" spans="2:9" x14ac:dyDescent="0.35">
      <c r="B82" s="33" t="s">
        <v>156</v>
      </c>
      <c r="C82" s="41" t="s">
        <v>156</v>
      </c>
      <c r="D82" s="41" t="s">
        <v>201</v>
      </c>
      <c r="F82" s="35" t="s">
        <v>91</v>
      </c>
      <c r="G82" s="35" t="s">
        <v>264</v>
      </c>
      <c r="H82" s="35" t="s">
        <v>156</v>
      </c>
      <c r="I82" s="35" t="str">
        <f t="shared" si="2"/>
        <v>2123. Administração</v>
      </c>
    </row>
    <row r="83" spans="2:9" x14ac:dyDescent="0.35">
      <c r="B83" s="33" t="s">
        <v>156</v>
      </c>
      <c r="C83" s="41" t="s">
        <v>156</v>
      </c>
      <c r="D83" s="41" t="s">
        <v>204</v>
      </c>
      <c r="F83" s="36" t="s">
        <v>302</v>
      </c>
      <c r="G83" s="36" t="s">
        <v>265</v>
      </c>
      <c r="H83" s="36" t="s">
        <v>266</v>
      </c>
      <c r="I83" s="36" t="str">
        <f t="shared" si="2"/>
        <v>2123.A Portaria, Vestiário, Refeitório, Recursos Humanos e Monitoramento</v>
      </c>
    </row>
    <row r="84" spans="2:9" x14ac:dyDescent="0.35">
      <c r="B84" s="33" t="s">
        <v>207</v>
      </c>
      <c r="C84" s="41" t="s">
        <v>207</v>
      </c>
      <c r="D84" s="41" t="s">
        <v>208</v>
      </c>
      <c r="F84" s="36" t="s">
        <v>302</v>
      </c>
      <c r="G84" s="36" t="s">
        <v>267</v>
      </c>
      <c r="H84" s="36" t="s">
        <v>268</v>
      </c>
      <c r="I84" s="36" t="str">
        <f t="shared" si="2"/>
        <v>2123.B Guarita de Controle de Acesso</v>
      </c>
    </row>
    <row r="85" spans="2:9" x14ac:dyDescent="0.35">
      <c r="B85" s="33" t="s">
        <v>207</v>
      </c>
      <c r="C85" s="41" t="s">
        <v>207</v>
      </c>
      <c r="D85" s="41" t="s">
        <v>211</v>
      </c>
      <c r="F85" s="36" t="s">
        <v>302</v>
      </c>
      <c r="G85" s="36" t="s">
        <v>269</v>
      </c>
      <c r="H85" s="36" t="s">
        <v>270</v>
      </c>
      <c r="I85" s="36" t="str">
        <f t="shared" si="2"/>
        <v>2123.C Posto de Combustível, Conveniência e Restaurante</v>
      </c>
    </row>
    <row r="86" spans="2:9" x14ac:dyDescent="0.35">
      <c r="B86" s="33" t="s">
        <v>213</v>
      </c>
      <c r="C86" s="41" t="s">
        <v>286</v>
      </c>
      <c r="D86" s="41" t="s">
        <v>288</v>
      </c>
      <c r="F86" s="36" t="s">
        <v>302</v>
      </c>
      <c r="G86" s="36" t="s">
        <v>271</v>
      </c>
      <c r="H86" s="36" t="s">
        <v>272</v>
      </c>
      <c r="I86" s="36" t="str">
        <f t="shared" si="2"/>
        <v>2123.D Segurança do Trabalho, Meio Ambiente e Saúde Ocupacional (SMS)</v>
      </c>
    </row>
    <row r="87" spans="2:9" x14ac:dyDescent="0.35">
      <c r="B87" s="33" t="s">
        <v>213</v>
      </c>
      <c r="C87" s="41" t="s">
        <v>286</v>
      </c>
      <c r="D87" s="41" t="s">
        <v>311</v>
      </c>
      <c r="F87" s="36" t="s">
        <v>302</v>
      </c>
      <c r="G87" s="36" t="s">
        <v>273</v>
      </c>
      <c r="H87" s="36" t="s">
        <v>274</v>
      </c>
      <c r="I87" s="36" t="str">
        <f t="shared" si="2"/>
        <v>2123.E Pátio, Arredores, Estacionamento e Sinalização Viária</v>
      </c>
    </row>
    <row r="88" spans="2:9" x14ac:dyDescent="0.35">
      <c r="B88" s="33" t="s">
        <v>213</v>
      </c>
      <c r="C88" s="41" t="s">
        <v>286</v>
      </c>
      <c r="D88" s="41" t="s">
        <v>292</v>
      </c>
      <c r="F88" s="36" t="s">
        <v>302</v>
      </c>
      <c r="G88" s="36" t="s">
        <v>275</v>
      </c>
      <c r="H88" s="36" t="s">
        <v>1694</v>
      </c>
      <c r="I88" s="36" t="str">
        <f t="shared" si="2"/>
        <v>2123.F Almoxarifado e Depósito de Produtos Químicos</v>
      </c>
    </row>
    <row r="89" spans="2:9" x14ac:dyDescent="0.35">
      <c r="B89" s="33" t="s">
        <v>213</v>
      </c>
      <c r="C89" s="41" t="s">
        <v>286</v>
      </c>
      <c r="D89" s="41" t="s">
        <v>1</v>
      </c>
      <c r="F89" s="36" t="s">
        <v>302</v>
      </c>
      <c r="G89" s="36" t="s">
        <v>276</v>
      </c>
      <c r="H89" s="36" t="s">
        <v>199</v>
      </c>
      <c r="I89" s="36" t="str">
        <f t="shared" si="2"/>
        <v>2123.G Oficina de Lubrificação</v>
      </c>
    </row>
    <row r="90" spans="2:9" x14ac:dyDescent="0.35">
      <c r="F90" s="36" t="s">
        <v>302</v>
      </c>
      <c r="G90" s="36" t="s">
        <v>277</v>
      </c>
      <c r="H90" s="36" t="s">
        <v>201</v>
      </c>
      <c r="I90" s="36" t="str">
        <f t="shared" si="2"/>
        <v>2123.H Manutenção Industrial (Oficina Mecânica)</v>
      </c>
    </row>
    <row r="91" spans="2:9" x14ac:dyDescent="0.35">
      <c r="F91" s="36" t="s">
        <v>302</v>
      </c>
      <c r="G91" s="36" t="s">
        <v>278</v>
      </c>
      <c r="H91" s="36" t="s">
        <v>204</v>
      </c>
      <c r="I91" s="36" t="str">
        <f t="shared" si="2"/>
        <v>2123.I Escritório Administrativo</v>
      </c>
    </row>
    <row r="92" spans="2:9" x14ac:dyDescent="0.35">
      <c r="F92" s="34" t="s">
        <v>301</v>
      </c>
      <c r="G92" s="34" t="s">
        <v>279</v>
      </c>
      <c r="H92" s="34" t="s">
        <v>207</v>
      </c>
      <c r="I92" s="34" t="str">
        <f t="shared" si="2"/>
        <v>21H. Laboratórios</v>
      </c>
    </row>
    <row r="93" spans="2:9" x14ac:dyDescent="0.35">
      <c r="F93" s="35" t="s">
        <v>91</v>
      </c>
      <c r="G93" s="35" t="s">
        <v>280</v>
      </c>
      <c r="H93" s="35" t="s">
        <v>207</v>
      </c>
      <c r="I93" s="35" t="str">
        <f t="shared" si="2"/>
        <v>2126. Laboratórios</v>
      </c>
    </row>
    <row r="94" spans="2:9" x14ac:dyDescent="0.35">
      <c r="F94" s="36" t="s">
        <v>302</v>
      </c>
      <c r="G94" s="36" t="s">
        <v>281</v>
      </c>
      <c r="H94" s="36" t="s">
        <v>282</v>
      </c>
      <c r="I94" s="36" t="str">
        <f t="shared" si="2"/>
        <v>2126.A Laboratório – Matéria-Prima, Processo e Produto Final</v>
      </c>
    </row>
    <row r="95" spans="2:9" x14ac:dyDescent="0.35">
      <c r="F95" s="36" t="s">
        <v>302</v>
      </c>
      <c r="G95" s="36" t="s">
        <v>283</v>
      </c>
      <c r="H95" s="36" t="s">
        <v>211</v>
      </c>
      <c r="I95" s="36" t="str">
        <f t="shared" si="2"/>
        <v>2126.B Centro de Operação Integrado (COI)</v>
      </c>
    </row>
    <row r="96" spans="2:9" x14ac:dyDescent="0.35">
      <c r="F96" s="34" t="s">
        <v>301</v>
      </c>
      <c r="G96" s="34" t="s">
        <v>284</v>
      </c>
      <c r="H96" s="34" t="s">
        <v>213</v>
      </c>
      <c r="I96" s="34" t="str">
        <f t="shared" si="2"/>
        <v>21I. Efluentes</v>
      </c>
    </row>
    <row r="97" spans="6:9" x14ac:dyDescent="0.35">
      <c r="F97" s="35" t="s">
        <v>91</v>
      </c>
      <c r="G97" s="35" t="s">
        <v>285</v>
      </c>
      <c r="H97" s="35" t="s">
        <v>286</v>
      </c>
      <c r="I97" s="35" t="str">
        <f t="shared" si="2"/>
        <v>2103. Estação de Tratamento de Efluentes (ETE)</v>
      </c>
    </row>
    <row r="98" spans="6:9" x14ac:dyDescent="0.35">
      <c r="F98" s="36" t="s">
        <v>302</v>
      </c>
      <c r="G98" s="36" t="s">
        <v>287</v>
      </c>
      <c r="H98" s="36" t="s">
        <v>288</v>
      </c>
      <c r="I98" s="36" t="str">
        <f t="shared" ref="I98:I101" si="3">_xlfn.CONCAT(G98," ",H98)</f>
        <v>2103.A Rede de Esgoto e do Resíduo do Processo Industrial</v>
      </c>
    </row>
    <row r="99" spans="6:9" x14ac:dyDescent="0.35">
      <c r="F99" s="36" t="s">
        <v>302</v>
      </c>
      <c r="G99" s="36" t="s">
        <v>289</v>
      </c>
      <c r="H99" s="36" t="s">
        <v>290</v>
      </c>
      <c r="I99" s="36" t="str">
        <f t="shared" si="3"/>
        <v>2103.B Tratamento de Efluentes (Lagoas)</v>
      </c>
    </row>
    <row r="100" spans="6:9" x14ac:dyDescent="0.35">
      <c r="F100" s="36" t="s">
        <v>302</v>
      </c>
      <c r="G100" s="36" t="s">
        <v>291</v>
      </c>
      <c r="H100" s="36" t="s">
        <v>292</v>
      </c>
      <c r="I100" s="36" t="str">
        <f t="shared" si="3"/>
        <v>2103.C Depósito de Resíduos Sólidos</v>
      </c>
    </row>
    <row r="101" spans="6:9" x14ac:dyDescent="0.35">
      <c r="F101" s="36" t="s">
        <v>302</v>
      </c>
      <c r="G101" s="36" t="s">
        <v>293</v>
      </c>
      <c r="H101" s="36" t="s">
        <v>1</v>
      </c>
      <c r="I101" s="36" t="str">
        <f t="shared" si="3"/>
        <v>2103.D Fertirrigação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3b6676-c056-4ec3-8b16-7a0da013f043">
      <Terms xmlns="http://schemas.microsoft.com/office/infopath/2007/PartnerControls"/>
    </lcf76f155ced4ddcb4097134ff3c332f>
    <TaxCatchAll xmlns="96f9d421-d671-46f5-9f2b-1332d85fd37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F3E7AB02BE664A9A93163A00D7C209" ma:contentTypeVersion="13" ma:contentTypeDescription="Crie um novo documento." ma:contentTypeScope="" ma:versionID="718fb373b618347f7845445bfab03866">
  <xsd:schema xmlns:xsd="http://www.w3.org/2001/XMLSchema" xmlns:xs="http://www.w3.org/2001/XMLSchema" xmlns:p="http://schemas.microsoft.com/office/2006/metadata/properties" xmlns:ns2="fe3b6676-c056-4ec3-8b16-7a0da013f043" xmlns:ns3="96f9d421-d671-46f5-9f2b-1332d85fd374" targetNamespace="http://schemas.microsoft.com/office/2006/metadata/properties" ma:root="true" ma:fieldsID="018487849bb9d6291f9959d243d96d6e" ns2:_="" ns3:_="">
    <xsd:import namespace="fe3b6676-c056-4ec3-8b16-7a0da013f043"/>
    <xsd:import namespace="96f9d421-d671-46f5-9f2b-1332d85fd3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b6676-c056-4ec3-8b16-7a0da013f0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6830aa7a-1173-4a8f-8fff-517453f03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9d421-d671-46f5-9f2b-1332d85fd37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694d607-932a-4126-b182-0df390896da7}" ma:internalName="TaxCatchAll" ma:showField="CatchAllData" ma:web="96f9d421-d671-46f5-9f2b-1332d85fd3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7350F0-9E74-4F91-B9E9-B890D7B15D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F05AC4-7C96-47BC-A624-5EF51E5C3B2D}">
  <ds:schemaRefs>
    <ds:schemaRef ds:uri="http://purl.org/dc/elements/1.1/"/>
    <ds:schemaRef ds:uri="http://schemas.microsoft.com/office/infopath/2007/PartnerControls"/>
    <ds:schemaRef ds:uri="fe3b6676-c056-4ec3-8b16-7a0da013f043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96f9d421-d671-46f5-9f2b-1332d85fd374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34F44A5-6A20-4013-AAE1-64D954393A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SCAs</vt:lpstr>
      <vt:lpstr>EAP Planej.</vt:lpstr>
      <vt:lpstr>Árvore de Localização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Malaguti</dc:creator>
  <cp:lastModifiedBy>Pelosi, Loren</cp:lastModifiedBy>
  <cp:lastPrinted>2026-07-01T18:07:35Z</cp:lastPrinted>
  <dcterms:created xsi:type="dcterms:W3CDTF">2025-12-12T13:23:07Z</dcterms:created>
  <dcterms:modified xsi:type="dcterms:W3CDTF">2026-08-06T21:06:31Z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0x010100B9F3E7AB02BE664A9A93163A00D7C209</vt:lpwstr>
  </property>
  <property fmtid="{D5CDD505-2E9C-101B-9397-08002B2CF9AE}" pid="3" name="Order">
    <vt:r8>116200</vt:r8>
  </property>
  <property fmtid="{D5CDD505-2E9C-101B-9397-08002B2CF9AE}" pid="4" name="MSIP_Label_31f81cae-2cc7-434f-b11d-39789e497bf2_Enabled">
    <vt:lpwstr>true</vt:lpwstr>
  </property>
  <property fmtid="{D5CDD505-2E9C-101B-9397-08002B2CF9AE}" pid="5" name="MSIP_Label_31f81cae-2cc7-434f-b11d-39789e497bf2_SetDate">
    <vt:lpwstr>2026-07-10T17:02:32Z</vt:lpwstr>
  </property>
  <property fmtid="{D5CDD505-2E9C-101B-9397-08002B2CF9AE}" pid="6" name="MSIP_Label_31f81cae-2cc7-434f-b11d-39789e497bf2_Method">
    <vt:lpwstr>Standard</vt:lpwstr>
  </property>
  <property fmtid="{D5CDD505-2E9C-101B-9397-08002B2CF9AE}" pid="7" name="MSIP_Label_31f81cae-2cc7-434f-b11d-39789e497bf2_Name">
    <vt:lpwstr>Confidential</vt:lpwstr>
  </property>
  <property fmtid="{D5CDD505-2E9C-101B-9397-08002B2CF9AE}" pid="8" name="MSIP_Label_31f81cae-2cc7-434f-b11d-39789e497bf2_SiteId">
    <vt:lpwstr>dd5e230f-c165-49c4-957f-e203458fffab</vt:lpwstr>
  </property>
  <property fmtid="{D5CDD505-2E9C-101B-9397-08002B2CF9AE}" pid="9" name="MSIP_Label_31f81cae-2cc7-434f-b11d-39789e497bf2_ActionId">
    <vt:lpwstr>04f8fa97-2ccb-429b-854c-9302347df009</vt:lpwstr>
  </property>
  <property fmtid="{D5CDD505-2E9C-101B-9397-08002B2CF9AE}" pid="10" name="MSIP_Label_31f81cae-2cc7-434f-b11d-39789e497bf2_ContentBits">
    <vt:lpwstr>0</vt:lpwstr>
  </property>
  <property fmtid="{D5CDD505-2E9C-101B-9397-08002B2CF9AE}" pid="11" name="MSIP_Label_31f81cae-2cc7-434f-b11d-39789e497bf2_Tag">
    <vt:lpwstr>10, 3, 0, 1</vt:lpwstr>
  </property>
  <property fmtid="{D5CDD505-2E9C-101B-9397-08002B2CF9AE}" pid="12" name="MediaServiceImageTags">
    <vt:lpwstr/>
  </property>
</Properties>
</file>